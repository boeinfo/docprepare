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340" codeName="{3D1A710C-6663-3D7B-7F91-EC182F24A4BC}"/>
  <workbookPr codeName="acc" defaultThemeVersion="124226"/>
  <mc:AlternateContent xmlns:mc="http://schemas.openxmlformats.org/markup-compatibility/2006">
    <mc:Choice Requires="x15">
      <x15ac:absPath xmlns:x15ac="http://schemas.microsoft.com/office/spreadsheetml/2010/11/ac" url="C:\boe\it\Projects\docprepare\"/>
    </mc:Choice>
  </mc:AlternateContent>
  <xr:revisionPtr revIDLastSave="0" documentId="13_ncr:1_{01F452BF-5C91-4394-A77F-0D95D44F7CD9}" xr6:coauthVersionLast="36" xr6:coauthVersionMax="36" xr10:uidLastSave="{00000000-0000-0000-0000-000000000000}"/>
  <bookViews>
    <workbookView xWindow="0" yWindow="0" windowWidth="20490" windowHeight="7545" xr2:uid="{00000000-000D-0000-FFFF-FFFF00000000}"/>
  </bookViews>
  <sheets>
    <sheet name="Заказчики" sheetId="3" r:id="rId1"/>
    <sheet name="Заявка" sheetId="2" r:id="rId2"/>
    <sheet name="Протокол" sheetId="5" r:id="rId3"/>
    <sheet name="Счет" sheetId="1" r:id="rId4"/>
    <sheet name="Акт до 01012019" sheetId="6" state="hidden" r:id="rId5"/>
    <sheet name="Конверт С4" sheetId="9" state="hidden" r:id="rId6"/>
    <sheet name="Акт" sheetId="12" r:id="rId7"/>
    <sheet name="Конверт С5" sheetId="10" r:id="rId8"/>
    <sheet name="Уведомление" sheetId="11" r:id="rId9"/>
    <sheet name="Общие" sheetId="4" state="hidden" r:id="rId10"/>
  </sheets>
  <functionGroups builtInGroupCount="19"/>
  <externalReferences>
    <externalReference r:id="rId11"/>
    <externalReference r:id="rId12"/>
    <externalReference r:id="rId13"/>
  </externalReferences>
  <definedNames>
    <definedName name="акт" localSheetId="6">[1]Договор!#REF!</definedName>
    <definedName name="акт" localSheetId="4">[1]Договор!#REF!</definedName>
    <definedName name="акт" localSheetId="8">[1]Договор!#REF!</definedName>
    <definedName name="акт">[1]Договор!#REF!</definedName>
    <definedName name="валюта" localSheetId="6">Акт!#REF!</definedName>
    <definedName name="валюта" localSheetId="4">'Акт до 01012019'!#REF!</definedName>
    <definedName name="валюта" localSheetId="7">Счет!$M$1:$M$4</definedName>
    <definedName name="валюта" localSheetId="8">Счет!$M$1:$M$4</definedName>
    <definedName name="валюта">Счет!$M$1:$M$4</definedName>
    <definedName name="_xlnm.Print_Titles" localSheetId="0">Заказчики!$1:$2</definedName>
    <definedName name="заказчик" localSheetId="7">Заказчики!$B:$B</definedName>
    <definedName name="заказчик" localSheetId="8">Заказчики!$B:$B</definedName>
    <definedName name="заказчик">Заказчики!$B:$B</definedName>
    <definedName name="маш">Заявка!$H$1:$H$3</definedName>
    <definedName name="_xlnm.Print_Area" localSheetId="6">Акт!$A$1:$H$38</definedName>
    <definedName name="_xlnm.Print_Area" localSheetId="4">'Акт до 01012019'!$A$1:$H$34</definedName>
    <definedName name="_xlnm.Print_Area" localSheetId="1">Заявка!$A$1:$C$32</definedName>
    <definedName name="_xlnm.Print_Area" localSheetId="2">Протокол!$A$1:$H$47</definedName>
    <definedName name="_xlnm.Print_Area" localSheetId="3">Счет!$A$1:$H$31</definedName>
    <definedName name="сотрудники">[2]БД!$AT:$AT</definedName>
    <definedName name="трансп">[1]АВт!$A:$A</definedName>
    <definedName name="усл">[1]АВт!$A$18:$A$27</definedName>
    <definedName name="услуги">[3]УСЛ!$A:$A</definedName>
    <definedName name="фио">[2]БД!$E:$E</definedName>
  </definedNames>
  <calcPr calcId="191029"/>
</workbook>
</file>

<file path=xl/calcChain.xml><?xml version="1.0" encoding="utf-8"?>
<calcChain xmlns="http://schemas.openxmlformats.org/spreadsheetml/2006/main">
  <c r="B11" i="5" l="1"/>
  <c r="J25" i="1" l="1"/>
  <c r="D19" i="12"/>
  <c r="F20" i="2"/>
  <c r="B26" i="12" l="1"/>
  <c r="F21" i="2"/>
  <c r="G20" i="12" s="1"/>
  <c r="D20" i="2"/>
  <c r="B24" i="12"/>
  <c r="G21" i="12" l="1"/>
  <c r="D19" i="2"/>
  <c r="D37" i="12"/>
  <c r="B37" i="12"/>
  <c r="B36" i="12"/>
  <c r="B34" i="12"/>
  <c r="B32" i="12"/>
  <c r="D31" i="12"/>
  <c r="B31" i="12"/>
  <c r="G19" i="12"/>
  <c r="F9" i="12"/>
  <c r="D9" i="12"/>
  <c r="B7" i="12"/>
  <c r="B5" i="12"/>
  <c r="B4" i="12"/>
  <c r="E19" i="1" l="1"/>
  <c r="E20" i="12" l="1"/>
  <c r="F20" i="12" s="1"/>
  <c r="A1" i="2"/>
  <c r="B23" i="12"/>
  <c r="D20" i="12" l="1"/>
  <c r="D21" i="12" s="1"/>
  <c r="F21" i="12"/>
  <c r="A31" i="2"/>
  <c r="J1" i="5"/>
  <c r="C9" i="5" l="1"/>
  <c r="C10" i="12"/>
  <c r="S19" i="10"/>
  <c r="S23" i="10" s="1"/>
  <c r="S21" i="10" l="1"/>
  <c r="B33" i="10" s="1"/>
  <c r="S22" i="10"/>
  <c r="S3" i="11"/>
  <c r="L10" i="11"/>
  <c r="L13" i="11"/>
  <c r="L14" i="11"/>
  <c r="L15" i="11"/>
  <c r="L16" i="11"/>
  <c r="D50" i="11"/>
  <c r="D53" i="11"/>
  <c r="B31" i="10"/>
  <c r="B35" i="10"/>
  <c r="B37" i="10"/>
  <c r="D52" i="11" l="1"/>
  <c r="B34" i="10"/>
  <c r="C19" i="1" l="1"/>
  <c r="C20" i="12" s="1"/>
  <c r="B13" i="5" l="1"/>
  <c r="S79" i="9" l="1"/>
  <c r="N25" i="9" l="1"/>
  <c r="N66" i="9"/>
  <c r="L86" i="9" s="1"/>
  <c r="G19" i="1" l="1"/>
  <c r="F19" i="1" s="1"/>
  <c r="B7" i="6" l="1"/>
  <c r="B5" i="6"/>
  <c r="B4" i="6"/>
  <c r="B7" i="1"/>
  <c r="B5" i="1"/>
  <c r="B4" i="1"/>
  <c r="B32" i="5"/>
  <c r="B30" i="5"/>
  <c r="B29" i="5"/>
  <c r="D19" i="1" l="1"/>
  <c r="N70" i="9"/>
  <c r="B41" i="9" l="1"/>
  <c r="D128" i="9" s="1"/>
  <c r="B47" i="9" l="1"/>
  <c r="D129" i="9" s="1"/>
  <c r="B39" i="9"/>
  <c r="D126" i="9" s="1"/>
  <c r="N72" i="9"/>
  <c r="L92" i="9" s="1"/>
  <c r="L91" i="9"/>
  <c r="N69" i="9"/>
  <c r="L90" i="9" s="1"/>
  <c r="N68" i="9"/>
  <c r="L89" i="9" s="1"/>
  <c r="D9" i="6" l="1"/>
  <c r="F9" i="1"/>
  <c r="F9" i="6" l="1"/>
  <c r="A4" i="3" l="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 r="A102" i="3" s="1"/>
  <c r="A103" i="3" s="1"/>
  <c r="A104" i="3" s="1"/>
  <c r="A105" i="3" s="1"/>
  <c r="A106" i="3" s="1"/>
  <c r="A107" i="3" s="1"/>
  <c r="A108" i="3" s="1"/>
  <c r="A109" i="3" s="1"/>
  <c r="A110" i="3" s="1"/>
  <c r="A111" i="3" s="1"/>
  <c r="A112" i="3" s="1"/>
  <c r="A113" i="3" s="1"/>
  <c r="A114" i="3" s="1"/>
  <c r="A115" i="3" s="1"/>
  <c r="A116" i="3" s="1"/>
  <c r="A117" i="3" s="1"/>
  <c r="A118" i="3" s="1"/>
  <c r="A119" i="3" s="1"/>
  <c r="A120" i="3" s="1"/>
  <c r="A121" i="3" s="1"/>
  <c r="A122" i="3" s="1"/>
  <c r="A123" i="3" s="1"/>
  <c r="A124" i="3" s="1"/>
  <c r="A125" i="3" s="1"/>
  <c r="A126" i="3" s="1"/>
  <c r="A127" i="3" s="1"/>
  <c r="A128" i="3" s="1"/>
  <c r="A129" i="3" s="1"/>
  <c r="A130" i="3" s="1"/>
  <c r="A131" i="3" s="1"/>
  <c r="A132" i="3" s="1"/>
  <c r="A133" i="3" s="1"/>
  <c r="A134" i="3" s="1"/>
  <c r="A135" i="3" s="1"/>
  <c r="A136" i="3" s="1"/>
  <c r="A137" i="3" s="1"/>
  <c r="A138" i="3" s="1"/>
  <c r="A139" i="3" s="1"/>
  <c r="A140" i="3" s="1"/>
  <c r="A141" i="3" s="1"/>
  <c r="A142" i="3" s="1"/>
  <c r="A143" i="3" s="1"/>
  <c r="A144" i="3" s="1"/>
  <c r="A145" i="3" s="1"/>
  <c r="A146" i="3" s="1"/>
  <c r="A147" i="3" s="1"/>
  <c r="A148" i="3" s="1"/>
  <c r="A149" i="3" s="1"/>
  <c r="A150" i="3" s="1"/>
  <c r="A151" i="3" s="1"/>
  <c r="A152" i="3" s="1"/>
  <c r="A153" i="3" s="1"/>
  <c r="A154" i="3" s="1"/>
  <c r="A155" i="3" s="1"/>
  <c r="A156" i="3" s="1"/>
  <c r="A157" i="3" s="1"/>
  <c r="A158" i="3" s="1"/>
  <c r="A159" i="3" s="1"/>
  <c r="A160" i="3" s="1"/>
  <c r="A161" i="3" s="1"/>
  <c r="A162" i="3" s="1"/>
  <c r="A163" i="3" s="1"/>
  <c r="A164" i="3" s="1"/>
  <c r="A165" i="3" s="1"/>
  <c r="A166" i="3" s="1"/>
  <c r="A167" i="3" s="1"/>
  <c r="A168" i="3" s="1"/>
  <c r="A169" i="3" s="1"/>
  <c r="A170" i="3" s="1"/>
  <c r="A171" i="3" s="1"/>
  <c r="A172" i="3" s="1"/>
  <c r="A173" i="3" s="1"/>
  <c r="A174" i="3" s="1"/>
  <c r="A175" i="3" s="1"/>
  <c r="A176" i="3" s="1"/>
  <c r="A177" i="3" s="1"/>
  <c r="A178" i="3" s="1"/>
  <c r="A179" i="3" s="1"/>
  <c r="A180" i="3" s="1"/>
  <c r="A181" i="3" s="1"/>
  <c r="A182" i="3" s="1"/>
  <c r="A7" i="2"/>
  <c r="E20" i="6" l="1"/>
  <c r="H8" i="3" l="1"/>
  <c r="C20" i="6"/>
  <c r="B25" i="1"/>
  <c r="B38" i="5"/>
  <c r="F13" i="5"/>
  <c r="F38" i="5" s="1"/>
  <c r="C10" i="6"/>
  <c r="H4" i="3"/>
  <c r="D33" i="6"/>
  <c r="B33" i="6"/>
  <c r="B32" i="6"/>
  <c r="B30" i="6"/>
  <c r="B28" i="6"/>
  <c r="D27" i="6"/>
  <c r="B27" i="6"/>
  <c r="D19" i="6"/>
  <c r="A27" i="2"/>
  <c r="B36" i="5"/>
  <c r="C24" i="4"/>
  <c r="C23" i="4"/>
  <c r="M23" i="4" s="1"/>
  <c r="C22" i="4"/>
  <c r="M22" i="4" s="1"/>
  <c r="C21" i="4"/>
  <c r="M21" i="4" s="1"/>
  <c r="C20" i="4"/>
  <c r="M20" i="4" s="1"/>
  <c r="C19" i="4"/>
  <c r="M19" i="4" s="1"/>
  <c r="C18" i="4"/>
  <c r="M18" i="4" s="1"/>
  <c r="C17" i="4"/>
  <c r="M17" i="4" s="1"/>
  <c r="C16" i="4"/>
  <c r="M16" i="4" s="1"/>
  <c r="C15" i="4"/>
  <c r="M15" i="4" s="1"/>
  <c r="C14" i="4"/>
  <c r="M14" i="4" s="1"/>
  <c r="C13" i="4"/>
  <c r="M13" i="4" s="1"/>
  <c r="C12" i="4"/>
  <c r="M12" i="4" s="1"/>
  <c r="N12" i="4" s="1"/>
  <c r="C11" i="4"/>
  <c r="M11" i="4" s="1"/>
  <c r="C9" i="4"/>
  <c r="C2" i="4"/>
  <c r="D2" i="4" s="1"/>
  <c r="E2" i="4" s="1"/>
  <c r="F2" i="4" s="1"/>
  <c r="G2" i="4" s="1"/>
  <c r="H2" i="4" s="1"/>
  <c r="I2" i="4" s="1"/>
  <c r="J2" i="4" s="1"/>
  <c r="K2" i="4" s="1"/>
  <c r="L2" i="4" s="1"/>
  <c r="M2" i="4" s="1"/>
  <c r="N2" i="4" s="1"/>
  <c r="R2" i="4" s="1"/>
  <c r="S2" i="4" s="1"/>
  <c r="T2" i="4" s="1"/>
  <c r="U2" i="4" s="1"/>
  <c r="V2" i="4" s="1"/>
  <c r="W2" i="4" s="1"/>
  <c r="X2" i="4" s="1"/>
  <c r="Y2" i="4" s="1"/>
  <c r="Z2" i="4" s="1"/>
  <c r="AA2" i="4" s="1"/>
  <c r="AB2" i="4" s="1"/>
  <c r="AC2" i="4" s="1"/>
  <c r="AD2" i="4" s="1"/>
  <c r="AE2" i="4" s="1"/>
  <c r="AF2" i="4" s="1"/>
  <c r="AG2" i="4" s="1"/>
  <c r="AH2" i="4" s="1"/>
  <c r="AI2" i="4" s="1"/>
  <c r="AJ2" i="4" s="1"/>
  <c r="AK2" i="4" s="1"/>
  <c r="AL2" i="4" s="1"/>
  <c r="A29" i="2" l="1"/>
  <c r="E18" i="5" s="1"/>
  <c r="D34" i="12" s="1"/>
  <c r="D16" i="4"/>
  <c r="F16" i="4" s="1"/>
  <c r="D12" i="4"/>
  <c r="E12" i="4" s="1"/>
  <c r="D20" i="4"/>
  <c r="F20" i="4" s="1"/>
  <c r="G20" i="4" s="1"/>
  <c r="I20" i="4" s="1"/>
  <c r="B34" i="5"/>
  <c r="G19" i="6"/>
  <c r="D14" i="4"/>
  <c r="F14" i="4" s="1"/>
  <c r="G14" i="4" s="1"/>
  <c r="I14" i="4" s="1"/>
  <c r="D18" i="4"/>
  <c r="F18" i="4" s="1"/>
  <c r="G18" i="4" s="1"/>
  <c r="D22" i="4"/>
  <c r="F22" i="4" s="1"/>
  <c r="G22" i="4" s="1"/>
  <c r="I22" i="4" s="1"/>
  <c r="R12" i="4"/>
  <c r="S12" i="4" s="1"/>
  <c r="AA12" i="4"/>
  <c r="N13" i="4"/>
  <c r="AA13" i="4" s="1"/>
  <c r="D9" i="4"/>
  <c r="E9" i="4" s="1"/>
  <c r="N11" i="4"/>
  <c r="AA11" i="4" s="1"/>
  <c r="C10" i="4"/>
  <c r="M10" i="4" s="1"/>
  <c r="N16" i="4"/>
  <c r="AA16" i="4" s="1"/>
  <c r="N17" i="4"/>
  <c r="AA17" i="4" s="1"/>
  <c r="N20" i="4"/>
  <c r="AA20" i="4" s="1"/>
  <c r="N21" i="4"/>
  <c r="AA21" i="4" s="1"/>
  <c r="C5" i="4"/>
  <c r="M5" i="4" s="1"/>
  <c r="C6" i="4"/>
  <c r="M6" i="4" s="1"/>
  <c r="C7" i="4"/>
  <c r="C8" i="4"/>
  <c r="D11" i="4"/>
  <c r="E11" i="4" s="1"/>
  <c r="D13" i="4"/>
  <c r="E13" i="4" s="1"/>
  <c r="N14" i="4"/>
  <c r="AA14" i="4" s="1"/>
  <c r="N15" i="4"/>
  <c r="AA15" i="4" s="1"/>
  <c r="G16" i="4"/>
  <c r="I16" i="4" s="1"/>
  <c r="N18" i="4"/>
  <c r="AA18" i="4" s="1"/>
  <c r="N19" i="4"/>
  <c r="AA19" i="4" s="1"/>
  <c r="N22" i="4"/>
  <c r="AA22" i="4" s="1"/>
  <c r="N23" i="4"/>
  <c r="AA23" i="4" s="1"/>
  <c r="M9" i="4"/>
  <c r="D15" i="4"/>
  <c r="E15" i="4" s="1"/>
  <c r="D17" i="4"/>
  <c r="E17" i="4" s="1"/>
  <c r="D19" i="4"/>
  <c r="E19" i="4" s="1"/>
  <c r="D21" i="4"/>
  <c r="E21" i="4" s="1"/>
  <c r="D23" i="4"/>
  <c r="E23" i="4" s="1"/>
  <c r="M24" i="4"/>
  <c r="D24" i="4"/>
  <c r="E24" i="4" s="1"/>
  <c r="E18" i="4" l="1"/>
  <c r="E16" i="4"/>
  <c r="E43" i="5"/>
  <c r="D30" i="6"/>
  <c r="E22" i="4"/>
  <c r="F12" i="4"/>
  <c r="G12" i="4" s="1"/>
  <c r="F21" i="4"/>
  <c r="G21" i="4" s="1"/>
  <c r="E20" i="4"/>
  <c r="E14" i="4"/>
  <c r="F13" i="4"/>
  <c r="G13" i="4" s="1"/>
  <c r="I13" i="4" s="1"/>
  <c r="F11" i="4"/>
  <c r="G11" i="4" s="1"/>
  <c r="I11" i="4" s="1"/>
  <c r="I18" i="4"/>
  <c r="J18" i="4" s="1"/>
  <c r="F17" i="4"/>
  <c r="G17" i="4" s="1"/>
  <c r="I17" i="4" s="1"/>
  <c r="F9" i="4"/>
  <c r="G9" i="4" s="1"/>
  <c r="I9" i="4" s="1"/>
  <c r="N5" i="4"/>
  <c r="AA5" i="4" s="1"/>
  <c r="N9" i="4"/>
  <c r="AA9" i="4" s="1"/>
  <c r="AB22" i="4"/>
  <c r="AC22" i="4" s="1"/>
  <c r="AB19" i="4"/>
  <c r="AC19" i="4" s="1"/>
  <c r="AB15" i="4"/>
  <c r="AC15" i="4" s="1"/>
  <c r="R23" i="4"/>
  <c r="S23" i="4" s="1"/>
  <c r="R22" i="4"/>
  <c r="S22" i="4" s="1"/>
  <c r="R19" i="4"/>
  <c r="S19" i="4" s="1"/>
  <c r="R18" i="4"/>
  <c r="S18" i="4" s="1"/>
  <c r="R15" i="4"/>
  <c r="S15" i="4" s="1"/>
  <c r="R14" i="4"/>
  <c r="S14" i="4" s="1"/>
  <c r="D8" i="4"/>
  <c r="E8" i="4" s="1"/>
  <c r="D6" i="4"/>
  <c r="E6" i="4" s="1"/>
  <c r="R21" i="4"/>
  <c r="S21" i="4" s="1"/>
  <c r="R20" i="4"/>
  <c r="S20" i="4" s="1"/>
  <c r="R17" i="4"/>
  <c r="S17" i="4" s="1"/>
  <c r="R16" i="4"/>
  <c r="S16" i="4" s="1"/>
  <c r="D10" i="4"/>
  <c r="E10" i="4" s="1"/>
  <c r="R11" i="4"/>
  <c r="S11" i="4" s="1"/>
  <c r="R13" i="4"/>
  <c r="S13" i="4" s="1"/>
  <c r="AB12" i="4"/>
  <c r="AC12" i="4" s="1"/>
  <c r="F23" i="4"/>
  <c r="F19" i="4"/>
  <c r="F15" i="4"/>
  <c r="J20" i="4"/>
  <c r="J16" i="4"/>
  <c r="F24" i="4"/>
  <c r="J22" i="4"/>
  <c r="J14" i="4"/>
  <c r="M8" i="4"/>
  <c r="T12" i="4"/>
  <c r="N24" i="4"/>
  <c r="AB23" i="4"/>
  <c r="AC23" i="4" s="1"/>
  <c r="AB18" i="4"/>
  <c r="AC18" i="4" s="1"/>
  <c r="AB14" i="4"/>
  <c r="AC14" i="4" s="1"/>
  <c r="D7" i="4"/>
  <c r="E7" i="4" s="1"/>
  <c r="D5" i="4"/>
  <c r="E5" i="4" s="1"/>
  <c r="AB21" i="4"/>
  <c r="AC21" i="4" s="1"/>
  <c r="AB20" i="4"/>
  <c r="AC20" i="4" s="1"/>
  <c r="AB17" i="4"/>
  <c r="AC17" i="4" s="1"/>
  <c r="AB16" i="4"/>
  <c r="AC16" i="4" s="1"/>
  <c r="N10" i="4"/>
  <c r="AB11" i="4"/>
  <c r="AC11" i="4" s="1"/>
  <c r="N6" i="4"/>
  <c r="AB13" i="4"/>
  <c r="AC13" i="4" s="1"/>
  <c r="M7" i="4"/>
  <c r="T13" i="4" l="1"/>
  <c r="T11" i="4"/>
  <c r="F10" i="4"/>
  <c r="AB5" i="4"/>
  <c r="AC5" i="4" s="1"/>
  <c r="R6" i="4"/>
  <c r="S6" i="4" s="1"/>
  <c r="R10" i="4"/>
  <c r="S10" i="4" s="1"/>
  <c r="R24" i="4"/>
  <c r="S24" i="4" s="1"/>
  <c r="U12" i="4"/>
  <c r="W12" i="4" s="1"/>
  <c r="N8" i="4"/>
  <c r="AA8" i="4" s="1"/>
  <c r="H18" i="4"/>
  <c r="K18" i="4"/>
  <c r="G24" i="4"/>
  <c r="I24" i="4" s="1"/>
  <c r="U13" i="4"/>
  <c r="W13" i="4" s="1"/>
  <c r="U11" i="4"/>
  <c r="W11" i="4" s="1"/>
  <c r="G10" i="4"/>
  <c r="I10" i="4" s="1"/>
  <c r="N7" i="4"/>
  <c r="AA7" i="4" s="1"/>
  <c r="H14" i="4"/>
  <c r="K14" i="4"/>
  <c r="H22" i="4"/>
  <c r="K22" i="4"/>
  <c r="H16" i="4"/>
  <c r="K16" i="4"/>
  <c r="G15" i="4"/>
  <c r="I15" i="4" s="1"/>
  <c r="G23" i="4"/>
  <c r="R9" i="4"/>
  <c r="S9" i="4" s="1"/>
  <c r="AD13" i="4"/>
  <c r="AA6" i="4"/>
  <c r="AD11" i="4"/>
  <c r="AA10" i="4"/>
  <c r="AD16" i="4"/>
  <c r="AD17" i="4"/>
  <c r="AD20" i="4"/>
  <c r="AD21" i="4"/>
  <c r="F5" i="4"/>
  <c r="F7" i="4"/>
  <c r="I12" i="4"/>
  <c r="J12" i="4" s="1"/>
  <c r="J11" i="4"/>
  <c r="AD14" i="4"/>
  <c r="AD18" i="4"/>
  <c r="AD23" i="4"/>
  <c r="I21" i="4"/>
  <c r="J21" i="4" s="1"/>
  <c r="AA24" i="4"/>
  <c r="AD12" i="4"/>
  <c r="T16" i="4"/>
  <c r="T17" i="4"/>
  <c r="T20" i="4"/>
  <c r="T21" i="4"/>
  <c r="F6" i="4"/>
  <c r="F8" i="4"/>
  <c r="T14" i="4"/>
  <c r="T15" i="4"/>
  <c r="T18" i="4"/>
  <c r="T19" i="4"/>
  <c r="T22" i="4"/>
  <c r="T23" i="4"/>
  <c r="J13" i="4"/>
  <c r="AD15" i="4"/>
  <c r="AD19" i="4"/>
  <c r="AD22" i="4"/>
  <c r="H20" i="4"/>
  <c r="L20" i="4" s="1"/>
  <c r="K20" i="4"/>
  <c r="G19" i="4"/>
  <c r="AB9" i="4"/>
  <c r="AC9" i="4" s="1"/>
  <c r="R5" i="4"/>
  <c r="S5" i="4" s="1"/>
  <c r="J9" i="4"/>
  <c r="J17" i="4"/>
  <c r="L16" i="4" l="1"/>
  <c r="L14" i="4"/>
  <c r="L22" i="4"/>
  <c r="L18" i="4"/>
  <c r="K12" i="4"/>
  <c r="H12" i="4"/>
  <c r="K21" i="4"/>
  <c r="H21" i="4"/>
  <c r="AB8" i="4"/>
  <c r="AC8" i="4" s="1"/>
  <c r="K17" i="4"/>
  <c r="H17" i="4"/>
  <c r="AE19" i="4"/>
  <c r="AG19" i="4" s="1"/>
  <c r="H13" i="4"/>
  <c r="K13" i="4"/>
  <c r="U22" i="4"/>
  <c r="W22" i="4" s="1"/>
  <c r="U14" i="4"/>
  <c r="W14" i="4" s="1"/>
  <c r="G6" i="4"/>
  <c r="I6" i="4" s="1"/>
  <c r="U21" i="4"/>
  <c r="W21" i="4" s="1"/>
  <c r="U17" i="4"/>
  <c r="W17" i="4" s="1"/>
  <c r="AE12" i="4"/>
  <c r="AG12" i="4" s="1"/>
  <c r="AE18" i="4"/>
  <c r="AG18" i="4" s="1"/>
  <c r="G7" i="4"/>
  <c r="I7" i="4" s="1"/>
  <c r="AE21" i="4"/>
  <c r="AG21" i="4" s="1"/>
  <c r="AE17" i="4"/>
  <c r="AG17" i="4" s="1"/>
  <c r="AB10" i="4"/>
  <c r="AC10" i="4" s="1"/>
  <c r="AB6" i="4"/>
  <c r="AC6" i="4" s="1"/>
  <c r="K9" i="4"/>
  <c r="H9" i="4"/>
  <c r="AE22" i="4"/>
  <c r="AG22" i="4" s="1"/>
  <c r="AE15" i="4"/>
  <c r="AG15" i="4" s="1"/>
  <c r="U23" i="4"/>
  <c r="W23" i="4" s="1"/>
  <c r="U19" i="4"/>
  <c r="W19" i="4" s="1"/>
  <c r="U15" i="4"/>
  <c r="W15" i="4" s="1"/>
  <c r="G8" i="4"/>
  <c r="I8" i="4" s="1"/>
  <c r="U20" i="4"/>
  <c r="W20" i="4" s="1"/>
  <c r="U16" i="4"/>
  <c r="W16" i="4" s="1"/>
  <c r="AB24" i="4"/>
  <c r="AC24" i="4" s="1"/>
  <c r="AE23" i="4"/>
  <c r="AG23" i="4" s="1"/>
  <c r="AE14" i="4"/>
  <c r="AG14" i="4" s="1"/>
  <c r="G5" i="4"/>
  <c r="I5" i="4" s="1"/>
  <c r="AE20" i="4"/>
  <c r="AG20" i="4" s="1"/>
  <c r="AE16" i="4"/>
  <c r="AG16" i="4" s="1"/>
  <c r="AE11" i="4"/>
  <c r="AG11" i="4" s="1"/>
  <c r="AE13" i="4"/>
  <c r="AG13" i="4" s="1"/>
  <c r="R7" i="4"/>
  <c r="S7" i="4" s="1"/>
  <c r="T5" i="4"/>
  <c r="AD9" i="4"/>
  <c r="I19" i="4"/>
  <c r="J19" i="4" s="1"/>
  <c r="T9" i="4"/>
  <c r="I23" i="4"/>
  <c r="J23" i="4" s="1"/>
  <c r="J10" i="4"/>
  <c r="X11" i="4"/>
  <c r="X13" i="4"/>
  <c r="J24" i="4"/>
  <c r="T24" i="4"/>
  <c r="T10" i="4"/>
  <c r="T6" i="4"/>
  <c r="AD5" i="4"/>
  <c r="U18" i="4"/>
  <c r="W18" i="4" s="1"/>
  <c r="H11" i="4"/>
  <c r="K11" i="4"/>
  <c r="AB7" i="4"/>
  <c r="AC7" i="4" s="1"/>
  <c r="R8" i="4"/>
  <c r="S8" i="4" s="1"/>
  <c r="J15" i="4"/>
  <c r="X12" i="4"/>
  <c r="L17" i="4" l="1"/>
  <c r="L9" i="4"/>
  <c r="L12" i="4"/>
  <c r="T7" i="4"/>
  <c r="U7" i="4" s="1"/>
  <c r="W7" i="4" s="1"/>
  <c r="AD24" i="4"/>
  <c r="AE24" i="4" s="1"/>
  <c r="AG24" i="4" s="1"/>
  <c r="L11" i="4"/>
  <c r="L13" i="4"/>
  <c r="L21" i="4"/>
  <c r="K23" i="4"/>
  <c r="H23" i="4"/>
  <c r="K19" i="4"/>
  <c r="H19" i="4"/>
  <c r="U6" i="4"/>
  <c r="W6" i="4" s="1"/>
  <c r="U24" i="4"/>
  <c r="W24" i="4" s="1"/>
  <c r="K10" i="4"/>
  <c r="H10" i="4"/>
  <c r="U9" i="4"/>
  <c r="W9" i="4" s="1"/>
  <c r="V12" i="4"/>
  <c r="Y12" i="4"/>
  <c r="AE5" i="4"/>
  <c r="AG5" i="4" s="1"/>
  <c r="U10" i="4"/>
  <c r="W10" i="4" s="1"/>
  <c r="H24" i="4"/>
  <c r="K24" i="4"/>
  <c r="Y11" i="4"/>
  <c r="V11" i="4"/>
  <c r="AE9" i="4"/>
  <c r="AG9" i="4" s="1"/>
  <c r="T8" i="4"/>
  <c r="AD7" i="4"/>
  <c r="X18" i="4"/>
  <c r="AH13" i="4"/>
  <c r="AH11" i="4"/>
  <c r="AH16" i="4"/>
  <c r="AH20" i="4"/>
  <c r="J5" i="4"/>
  <c r="AH14" i="4"/>
  <c r="AH23" i="4"/>
  <c r="X16" i="4"/>
  <c r="X20" i="4"/>
  <c r="J8" i="4"/>
  <c r="X15" i="4"/>
  <c r="X19" i="4"/>
  <c r="X23" i="4"/>
  <c r="AH15" i="4"/>
  <c r="AH22" i="4"/>
  <c r="AD6" i="4"/>
  <c r="AD10" i="4"/>
  <c r="AH12" i="4"/>
  <c r="AH19" i="4"/>
  <c r="AD8" i="4"/>
  <c r="K15" i="4"/>
  <c r="H15" i="4"/>
  <c r="Y13" i="4"/>
  <c r="V13" i="4"/>
  <c r="U5" i="4"/>
  <c r="W5" i="4" s="1"/>
  <c r="AH17" i="4"/>
  <c r="AH21" i="4"/>
  <c r="J7" i="4"/>
  <c r="AH18" i="4"/>
  <c r="X17" i="4"/>
  <c r="X21" i="4"/>
  <c r="J6" i="4"/>
  <c r="X14" i="4"/>
  <c r="X22" i="4"/>
  <c r="Z13" i="4" l="1"/>
  <c r="Z12" i="4"/>
  <c r="L19" i="4"/>
  <c r="Z11" i="4"/>
  <c r="L24" i="4"/>
  <c r="L23" i="4"/>
  <c r="L15" i="4"/>
  <c r="L10" i="4"/>
  <c r="Y14" i="4"/>
  <c r="V14" i="4"/>
  <c r="V21" i="4"/>
  <c r="Y21" i="4"/>
  <c r="AI18" i="4"/>
  <c r="AF18" i="4"/>
  <c r="AF19" i="4"/>
  <c r="AI19" i="4"/>
  <c r="AE10" i="4"/>
  <c r="AG10" i="4" s="1"/>
  <c r="V23" i="4"/>
  <c r="Y23" i="4"/>
  <c r="Y22" i="4"/>
  <c r="V22" i="4"/>
  <c r="K6" i="4"/>
  <c r="H6" i="4"/>
  <c r="V17" i="4"/>
  <c r="Y17" i="4"/>
  <c r="H7" i="4"/>
  <c r="K7" i="4"/>
  <c r="AF17" i="4"/>
  <c r="AI17" i="4"/>
  <c r="AE8" i="4"/>
  <c r="AG8" i="4" s="1"/>
  <c r="AF12" i="4"/>
  <c r="AI12" i="4"/>
  <c r="AE6" i="4"/>
  <c r="AG6" i="4" s="1"/>
  <c r="AF15" i="4"/>
  <c r="AI15" i="4"/>
  <c r="V19" i="4"/>
  <c r="Y19" i="4"/>
  <c r="H8" i="4"/>
  <c r="K8" i="4"/>
  <c r="Y20" i="4"/>
  <c r="V20" i="4"/>
  <c r="AF23" i="4"/>
  <c r="AI23" i="4"/>
  <c r="K5" i="4"/>
  <c r="H5" i="4"/>
  <c r="AI16" i="4"/>
  <c r="AF16" i="4"/>
  <c r="AI13" i="4"/>
  <c r="AF13" i="4"/>
  <c r="U8" i="4"/>
  <c r="W8" i="4" s="1"/>
  <c r="AH24" i="4"/>
  <c r="X5" i="4"/>
  <c r="X10" i="4"/>
  <c r="AH5" i="4"/>
  <c r="X9" i="4"/>
  <c r="X24" i="4"/>
  <c r="X6" i="4"/>
  <c r="AF21" i="4"/>
  <c r="AI21" i="4"/>
  <c r="AI22" i="4"/>
  <c r="AF22" i="4"/>
  <c r="V15" i="4"/>
  <c r="Y15" i="4"/>
  <c r="Y16" i="4"/>
  <c r="V16" i="4"/>
  <c r="AI14" i="4"/>
  <c r="AF14" i="4"/>
  <c r="AI20" i="4"/>
  <c r="AF20" i="4"/>
  <c r="AI11" i="4"/>
  <c r="AF11" i="4"/>
  <c r="Y18" i="4"/>
  <c r="V18" i="4"/>
  <c r="AE7" i="4"/>
  <c r="AH9" i="4"/>
  <c r="X7" i="4"/>
  <c r="AJ21" i="4" l="1"/>
  <c r="AJ23" i="4"/>
  <c r="AJ15" i="4"/>
  <c r="Z22" i="4"/>
  <c r="AJ19" i="4"/>
  <c r="Z18" i="4"/>
  <c r="AJ11" i="4"/>
  <c r="AK11" i="4" s="1"/>
  <c r="AL11" i="4" s="1"/>
  <c r="AJ20" i="4"/>
  <c r="AJ14" i="4"/>
  <c r="AJ22" i="4"/>
  <c r="AJ13" i="4"/>
  <c r="AK13" i="4" s="1"/>
  <c r="AL13" i="4" s="1"/>
  <c r="AJ16" i="4"/>
  <c r="L5" i="4"/>
  <c r="Z20" i="4"/>
  <c r="Z19" i="4"/>
  <c r="AK19" i="4" s="1"/>
  <c r="AL19" i="4" s="1"/>
  <c r="AJ12" i="4"/>
  <c r="AK12" i="4" s="1"/>
  <c r="AL12" i="4" s="1"/>
  <c r="AJ17" i="4"/>
  <c r="Z17" i="4"/>
  <c r="AJ18" i="4"/>
  <c r="Z23" i="4"/>
  <c r="AK23" i="4" s="1"/>
  <c r="AL23" i="4" s="1"/>
  <c r="Z21" i="4"/>
  <c r="AK21" i="4" s="1"/>
  <c r="AL21" i="4" s="1"/>
  <c r="Z16" i="4"/>
  <c r="Z15" i="4"/>
  <c r="AK15" i="4" s="1"/>
  <c r="AL15" i="4" s="1"/>
  <c r="Z14" i="4"/>
  <c r="AK14" i="4" s="1"/>
  <c r="AL14" i="4" s="1"/>
  <c r="L8" i="4"/>
  <c r="L7" i="4"/>
  <c r="L6" i="4"/>
  <c r="AK17" i="4"/>
  <c r="AL17" i="4" s="1"/>
  <c r="AF5" i="4"/>
  <c r="AI5" i="4"/>
  <c r="V5" i="4"/>
  <c r="Y5" i="4"/>
  <c r="AF9" i="4"/>
  <c r="AI9" i="4"/>
  <c r="V6" i="4"/>
  <c r="Y6" i="4"/>
  <c r="V9" i="4"/>
  <c r="Y9" i="4"/>
  <c r="V10" i="4"/>
  <c r="Y10" i="4"/>
  <c r="AG7" i="4"/>
  <c r="AH7" i="4" s="1"/>
  <c r="AH8" i="4"/>
  <c r="Y7" i="4"/>
  <c r="V7" i="4"/>
  <c r="Y24" i="4"/>
  <c r="V24" i="4"/>
  <c r="AI24" i="4"/>
  <c r="AF24" i="4"/>
  <c r="X8" i="4"/>
  <c r="AH6" i="4"/>
  <c r="AH10" i="4"/>
  <c r="AK16" i="4" l="1"/>
  <c r="AL16" i="4" s="1"/>
  <c r="AK22" i="4"/>
  <c r="AL22" i="4" s="1"/>
  <c r="AK18" i="4"/>
  <c r="AL18" i="4" s="1"/>
  <c r="Z7" i="4"/>
  <c r="AK20" i="4"/>
  <c r="AL20" i="4" s="1"/>
  <c r="AJ9" i="4"/>
  <c r="Z10" i="4"/>
  <c r="Z6" i="4"/>
  <c r="Z5" i="4"/>
  <c r="AJ5" i="4"/>
  <c r="AJ24" i="4"/>
  <c r="Z24" i="4"/>
  <c r="Z9" i="4"/>
  <c r="AF10" i="4"/>
  <c r="AI10" i="4"/>
  <c r="AF6" i="4"/>
  <c r="AI6" i="4"/>
  <c r="Y8" i="4"/>
  <c r="V8" i="4"/>
  <c r="AI8" i="4"/>
  <c r="AF8" i="4"/>
  <c r="AI7" i="4"/>
  <c r="AF7" i="4"/>
  <c r="AK9" i="4" l="1"/>
  <c r="AL9" i="4" s="1"/>
  <c r="AK5" i="4"/>
  <c r="AL5" i="4" s="1"/>
  <c r="AJ6" i="4"/>
  <c r="AK6" i="4" s="1"/>
  <c r="AL6" i="4" s="1"/>
  <c r="AJ10" i="4"/>
  <c r="AK10" i="4" s="1"/>
  <c r="AL10" i="4" s="1"/>
  <c r="AK24" i="4"/>
  <c r="AL24" i="4" s="1"/>
  <c r="AJ7" i="4"/>
  <c r="AK7" i="4" s="1"/>
  <c r="AL7" i="4" s="1"/>
  <c r="AJ8" i="4"/>
  <c r="Z8" i="4"/>
  <c r="B12" i="1"/>
  <c r="D18" i="1"/>
  <c r="E20" i="5"/>
  <c r="D36" i="12" s="1"/>
  <c r="B15" i="1"/>
  <c r="H3" i="3"/>
  <c r="B13" i="6" l="1"/>
  <c r="B13" i="12"/>
  <c r="B16" i="6"/>
  <c r="B16" i="12"/>
  <c r="AK8" i="4"/>
  <c r="AL8" i="4" s="1"/>
  <c r="E45" i="5"/>
  <c r="D32" i="6"/>
  <c r="D20" i="1"/>
  <c r="D20" i="6"/>
  <c r="E16" i="5"/>
  <c r="D32" i="12" s="1"/>
  <c r="G18" i="1"/>
  <c r="F20" i="6"/>
  <c r="B22" i="1"/>
  <c r="D23" i="6" l="1"/>
  <c r="D21" i="6"/>
  <c r="E41" i="5"/>
  <c r="D28" i="6"/>
  <c r="F20" i="1"/>
  <c r="B3" i="4" l="1"/>
  <c r="F21" i="6"/>
  <c r="G20" i="1"/>
  <c r="G20" i="6"/>
  <c r="B23" i="1"/>
  <c r="B4" i="4" l="1"/>
  <c r="C4" i="4" s="1"/>
  <c r="M4" i="4" s="1"/>
  <c r="N4" i="4" s="1"/>
  <c r="AA4" i="4" s="1"/>
  <c r="G21" i="6"/>
  <c r="C3" i="4"/>
  <c r="M3" i="4" s="1"/>
  <c r="D4" i="4" l="1"/>
  <c r="E4" i="4" s="1"/>
  <c r="AB4" i="4"/>
  <c r="AC4" i="4" s="1"/>
  <c r="N3" i="4"/>
  <c r="D3" i="4"/>
  <c r="E3" i="4" s="1"/>
  <c r="R4" i="4"/>
  <c r="S4" i="4" s="1"/>
  <c r="F4" i="4" l="1"/>
  <c r="G4" i="4" s="1"/>
  <c r="I4" i="4" s="1"/>
  <c r="J4" i="4" s="1"/>
  <c r="T4" i="4"/>
  <c r="U4" i="4" s="1"/>
  <c r="W4" i="4" s="1"/>
  <c r="AD4" i="4"/>
  <c r="AE4" i="4" s="1"/>
  <c r="R3" i="4"/>
  <c r="S3" i="4" s="1"/>
  <c r="F3" i="4"/>
  <c r="AA3" i="4"/>
  <c r="AG4" i="4" l="1"/>
  <c r="AH4" i="4" s="1"/>
  <c r="AI4" i="4" s="1"/>
  <c r="H4" i="4"/>
  <c r="K4" i="4"/>
  <c r="G3" i="4"/>
  <c r="I3" i="4" s="1"/>
  <c r="T3" i="4"/>
  <c r="X4" i="4"/>
  <c r="AB3" i="4"/>
  <c r="AC3" i="4" s="1"/>
  <c r="AF4" i="4" l="1"/>
  <c r="AJ4" i="4" s="1"/>
  <c r="V4" i="4"/>
  <c r="Y4" i="4"/>
  <c r="U3" i="4"/>
  <c r="W3" i="4" s="1"/>
  <c r="AD3" i="4"/>
  <c r="J3" i="4"/>
  <c r="L4" i="4"/>
  <c r="AE3" i="4" l="1"/>
  <c r="AG3" i="4" s="1"/>
  <c r="AH3" i="4" s="1"/>
  <c r="X3" i="4"/>
  <c r="Z4" i="4"/>
  <c r="AK4" i="4" s="1"/>
  <c r="AL4" i="4" s="1"/>
  <c r="H3" i="4"/>
  <c r="K3" i="4"/>
  <c r="D24" i="6" l="1"/>
  <c r="B24" i="6"/>
  <c r="Y3" i="4"/>
  <c r="V3" i="4"/>
  <c r="L3" i="4"/>
  <c r="AI3" i="4"/>
  <c r="AF3" i="4"/>
  <c r="AJ3" i="4" l="1"/>
  <c r="Z3" i="4"/>
  <c r="AK3" i="4" l="1"/>
  <c r="AL3" i="4" s="1"/>
  <c r="L7" i="1" s="1"/>
  <c r="B23" i="6" l="1"/>
</calcChain>
</file>

<file path=xl/sharedStrings.xml><?xml version="1.0" encoding="utf-8"?>
<sst xmlns="http://schemas.openxmlformats.org/spreadsheetml/2006/main" count="1736" uniqueCount="998">
  <si>
    <t>Совместное общество с ограниченной ответственностью «КамелиТурКомпани»</t>
  </si>
  <si>
    <t>Маршрут</t>
  </si>
  <si>
    <t>Дата и время выгрузки</t>
  </si>
  <si>
    <t>Дата и время загрузки</t>
  </si>
  <si>
    <t>Род груза, вес</t>
  </si>
  <si>
    <t>Адрес загрузки</t>
  </si>
  <si>
    <t>Таможня отправления</t>
  </si>
  <si>
    <t>Адрес разгрузки</t>
  </si>
  <si>
    <t>Таможня назначения</t>
  </si>
  <si>
    <t>Сумма фрахта</t>
  </si>
  <si>
    <t>Условия оплаты</t>
  </si>
  <si>
    <t>Автомобиль</t>
  </si>
  <si>
    <t xml:space="preserve"> - дата заявки</t>
  </si>
  <si>
    <t>№ п/п</t>
  </si>
  <si>
    <t>Наименование</t>
  </si>
  <si>
    <t>ИП Кислюк Константин Николаевич</t>
  </si>
  <si>
    <t>Договор</t>
  </si>
  <si>
    <t>№1 от 08.04.2013г.</t>
  </si>
  <si>
    <t>ИСПОЛНИТЕЛЬ:</t>
  </si>
  <si>
    <t>ЗАКАЗЧИК:</t>
  </si>
  <si>
    <t>г.Брест, ул.Дубровская, 26/1-28. Р/с 3013664360014 в зао Банк ВТБ(Беларусь) РД №500, код 153001108. УНП 290230661</t>
  </si>
  <si>
    <t>__________________/Кислюк К.Н./</t>
  </si>
  <si>
    <t>От заказчика</t>
  </si>
  <si>
    <t>Подпись</t>
  </si>
  <si>
    <t>№ 
п/п</t>
  </si>
  <si>
    <t>Сумма без
 НДС</t>
  </si>
  <si>
    <t>Бел.руб.</t>
  </si>
  <si>
    <t>$ США</t>
  </si>
  <si>
    <t>€ (Евро)</t>
  </si>
  <si>
    <t>Ставка НДС
%</t>
  </si>
  <si>
    <t>Сумма НДС</t>
  </si>
  <si>
    <t>Сумма с НДС</t>
  </si>
  <si>
    <t>Наименование 
услуг</t>
  </si>
  <si>
    <t>Счет фактура №</t>
  </si>
  <si>
    <t>от</t>
  </si>
  <si>
    <t>ПЛАТЕЛЬЩИК:</t>
  </si>
  <si>
    <t>ИТОГО:</t>
  </si>
  <si>
    <t xml:space="preserve"> сто</t>
  </si>
  <si>
    <t xml:space="preserve"> десять</t>
  </si>
  <si>
    <t xml:space="preserve"> один</t>
  </si>
  <si>
    <t xml:space="preserve"> одна</t>
  </si>
  <si>
    <t xml:space="preserve"> миллион</t>
  </si>
  <si>
    <t xml:space="preserve"> тысяча</t>
  </si>
  <si>
    <t xml:space="preserve"> двести</t>
  </si>
  <si>
    <t xml:space="preserve"> двадцать</t>
  </si>
  <si>
    <t xml:space="preserve"> два</t>
  </si>
  <si>
    <t xml:space="preserve"> две</t>
  </si>
  <si>
    <t xml:space="preserve"> миллиона</t>
  </si>
  <si>
    <t xml:space="preserve"> тысячи</t>
  </si>
  <si>
    <t xml:space="preserve"> триста</t>
  </si>
  <si>
    <t xml:space="preserve"> тридцать </t>
  </si>
  <si>
    <t xml:space="preserve"> три</t>
  </si>
  <si>
    <t xml:space="preserve"> четыреста</t>
  </si>
  <si>
    <t xml:space="preserve"> сорок</t>
  </si>
  <si>
    <t xml:space="preserve"> четыре</t>
  </si>
  <si>
    <t xml:space="preserve"> пятьсот</t>
  </si>
  <si>
    <t xml:space="preserve"> пятьдесят</t>
  </si>
  <si>
    <t xml:space="preserve"> пять</t>
  </si>
  <si>
    <t xml:space="preserve"> миллионов</t>
  </si>
  <si>
    <t xml:space="preserve"> тысяч</t>
  </si>
  <si>
    <t xml:space="preserve"> шестьсот</t>
  </si>
  <si>
    <t xml:space="preserve"> шестьдесят</t>
  </si>
  <si>
    <t xml:space="preserve"> шесть</t>
  </si>
  <si>
    <t xml:space="preserve"> семьсот</t>
  </si>
  <si>
    <t xml:space="preserve"> семьдесят</t>
  </si>
  <si>
    <t xml:space="preserve"> семь</t>
  </si>
  <si>
    <t xml:space="preserve"> восемьсот</t>
  </si>
  <si>
    <t xml:space="preserve"> восемьдесят</t>
  </si>
  <si>
    <t xml:space="preserve"> восемь</t>
  </si>
  <si>
    <t xml:space="preserve"> девятьсот</t>
  </si>
  <si>
    <t xml:space="preserve"> девяносто</t>
  </si>
  <si>
    <t xml:space="preserve"> девять</t>
  </si>
  <si>
    <t xml:space="preserve"> одиннадцать</t>
  </si>
  <si>
    <t xml:space="preserve"> двенадцать</t>
  </si>
  <si>
    <t xml:space="preserve"> тринадцать</t>
  </si>
  <si>
    <t xml:space="preserve"> четырнадцать</t>
  </si>
  <si>
    <t xml:space="preserve"> пятнадцать</t>
  </si>
  <si>
    <t xml:space="preserve"> шестнадцать</t>
  </si>
  <si>
    <t xml:space="preserve"> семнадцать</t>
  </si>
  <si>
    <t xml:space="preserve"> восемнадцать</t>
  </si>
  <si>
    <t xml:space="preserve"> девятнадцать</t>
  </si>
  <si>
    <t>М.П.</t>
  </si>
  <si>
    <t>Сумма</t>
  </si>
  <si>
    <t>Наименование услуг</t>
  </si>
  <si>
    <t>СООО "КамелиТурКомпани"</t>
  </si>
  <si>
    <t>Директор</t>
  </si>
  <si>
    <t>Акт выполненных работ №</t>
  </si>
  <si>
    <t>ЗАКАЗЧИК к объему и качеству выполненных работ претензий не имеет.</t>
  </si>
  <si>
    <t xml:space="preserve"> - номер CMR</t>
  </si>
  <si>
    <t>ИП Ярошик С.В.</t>
  </si>
  <si>
    <t>___________________/Ярошик С.В./</t>
  </si>
  <si>
    <t>ИП Семенчик Ю.М.</t>
  </si>
  <si>
    <t>ЧТЭУП "МегаТрансТрэйд"</t>
  </si>
  <si>
    <t xml:space="preserve">ул.Махновича,33,36 г.Брест. Р/с </t>
  </si>
  <si>
    <t>б/н от 15.12.2013</t>
  </si>
  <si>
    <t>ЧТЭУП "КанВест""</t>
  </si>
  <si>
    <t>ул.Гоздецкого, 19, 224028, г.Брест, 30127800016 ЦБУ №401ОАО "Белинвестбанк", код 739. УНП 290700939</t>
  </si>
  <si>
    <t>№ 19/08/2014 от 19.08.2014г.</t>
  </si>
  <si>
    <t>Крипиневич А.Н.</t>
  </si>
  <si>
    <t>_______________________/ Крипиневич А.Н.</t>
  </si>
  <si>
    <t>рос.руб</t>
  </si>
  <si>
    <t>российских рублей</t>
  </si>
  <si>
    <t xml:space="preserve"> - номер ТТН</t>
  </si>
  <si>
    <t>ИП Студеникин Михаил Иванович</t>
  </si>
  <si>
    <t>ул.Надежды, 8, 211501, г.Новополоцк. Р/с 3013014940014 в ф-ле №214 ОАО "АСБ Беларусбанк", г.Новополоцк, код 660. УНП 300242610</t>
  </si>
  <si>
    <t>№ 13-11/1 от 13.11.14</t>
  </si>
  <si>
    <t>___________________/Студеникин М.И./</t>
  </si>
  <si>
    <t>ЧТУП "Тэйктранс"</t>
  </si>
  <si>
    <t>___________________/Козорез Г.А./</t>
  </si>
  <si>
    <t>ЧТУП "Натали-транс"</t>
  </si>
  <si>
    <t>г.Барановичи,ул.Баранова,8, Р/с 3012123907019 в ЦБУ№101 ОАО "БПССбербанк",г.Барановичи, код 153001369. УНП 290495295</t>
  </si>
  <si>
    <t>___________________/____________./</t>
  </si>
  <si>
    <t>СООО "Бонше"</t>
  </si>
  <si>
    <t>224010 Брестский р-н,Аэропорт СЭЗ"Брест",р/с 3012780192015 в ЦКО №1 дирекции ОАО "Белинвестбанк" УНП 809000765</t>
  </si>
  <si>
    <t>___________________/В.В.Турбин/</t>
  </si>
  <si>
    <t>№ б/н от 09.12.2014г</t>
  </si>
  <si>
    <t>ЧТУП "ТРАНСАВМА"</t>
  </si>
  <si>
    <t>г.Брест,ул.Красногвардейская, 129, Р/с 3012075300417 ,ЗАО БТА-Банк"ЦБУ "Брестская дирекция", г.Брест, код 153001704. УНП 290659409</t>
  </si>
  <si>
    <t>№ б/н от 15.12.14</t>
  </si>
  <si>
    <t>___________________/_______________/</t>
  </si>
  <si>
    <t>ИП Вандич В.В.</t>
  </si>
  <si>
    <t>г.Брест,ул.Торфяная, 69, Р/с 3013080030410 ,ЗАО БТА-Банк"ЦБУ "Брестская дирекция", г.Брест, код 153001704. УНП 290399517</t>
  </si>
  <si>
    <t>№ б/н от 22.12.14</t>
  </si>
  <si>
    <t>б/н от 28.11.2014г</t>
  </si>
  <si>
    <t>ИП Малая В.П.</t>
  </si>
  <si>
    <t>220053 г.Минск,ул.Осипенко,4-60, Р/с 3013903660000 ,ОАО "Технобанк"", г.Минск, код 182. УНП 190618889</t>
  </si>
  <si>
    <t>№ б/н от 23.01.2015г</t>
  </si>
  <si>
    <t>ООО "АльбаТранс"</t>
  </si>
  <si>
    <t>№ ___ от _______________2015г</t>
  </si>
  <si>
    <t>_____________</t>
  </si>
  <si>
    <t>230029 г.Гродно,ул.Горького,103, Р/с 3012000004642 в ГОУ ОАО "АСБ Беларусбанк" филиал 400, код 152101752. УНП 590885041</t>
  </si>
  <si>
    <t>ООО "СмартВэй"</t>
  </si>
  <si>
    <t>230029 г.Минск,ул.Чапаева,3, Р/с 3012056660015  ОАО "Банк Москва-Минск" , код 153001272. УНП 191647617</t>
  </si>
  <si>
    <t>№ 000608 от 10.02.2015г</t>
  </si>
  <si>
    <t>___________________/С.А.Утлик/</t>
  </si>
  <si>
    <t>Солопова Любовь Ивановна</t>
  </si>
  <si>
    <t>РФ г.Саратов,ул.Васильковская,24,2.</t>
  </si>
  <si>
    <t>___________________/Солопова Л.И._/</t>
  </si>
  <si>
    <t>№ 20/02/2015 от 20.02.2015г</t>
  </si>
  <si>
    <t>№ 4125 от 26.02.2015</t>
  </si>
  <si>
    <t>ЗАО Торговый дом "Славянский рынок"</t>
  </si>
  <si>
    <t>212004 г.Могилев,Чаусское шоссе,4А, Р/с 3012303700011  ОАО "Технобанк" РУ №6г.Могилев, код153001182. УНП 700306890</t>
  </si>
  <si>
    <t>№ 18-э/2015-э от 02.03.2015г.</t>
  </si>
  <si>
    <t>___________________/Е.В.Петровский/</t>
  </si>
  <si>
    <t>Договор б/н от 24.10.2014г.</t>
  </si>
  <si>
    <t>ИП Можелюк С.И.</t>
  </si>
  <si>
    <t>г.Брест,ул.Дубровская,27,43, Р/с 3013121224012 ,РД№100 ОАО "БПС-Сбербанк", г.Брест, код 153001369. УНП 290433779</t>
  </si>
  <si>
    <t>№ б/н от 31.07.2015г.</t>
  </si>
  <si>
    <t>ООО "Оргсервиском""</t>
  </si>
  <si>
    <t>211440 г.Новополоцк,ул.Юбилейная,2А,25, Р/с 3012118566016   ЦБУ №202 ОАО "БПС-Сбербанк", код 153001369 УНП 690564848</t>
  </si>
  <si>
    <t>№ 126 от 20.10.2015</t>
  </si>
  <si>
    <t>Когут С.Л.</t>
  </si>
  <si>
    <t>Банари Михаил</t>
  </si>
  <si>
    <t>Республика Молдова  паспорт АА 0219630 от 27.02.2015</t>
  </si>
  <si>
    <t>№08/10 от 08.10.2015г</t>
  </si>
  <si>
    <t>ЧТУП "МаркелТранс"</t>
  </si>
  <si>
    <t>№ 383/п от 13.11.2015</t>
  </si>
  <si>
    <t>Марчук С.М.</t>
  </si>
  <si>
    <t>224028 г.Брест ул.Гоздецкого,19, Р/с 3012300067663   ОАО "Белгазпромбанк" Дирекция по Брестской области, код 153001742 УНП 291009499</t>
  </si>
  <si>
    <t>ИП Когут Ю.В.</t>
  </si>
  <si>
    <t>г.Гродно,ул.Индурское шоссе д.10.кв.204, Р/с 3013142522009 ,ОАО "Белвнешэкономбанк", код 153001226. УНП 591125938</t>
  </si>
  <si>
    <t>№ 0370/П15 от 10.12.2015г.</t>
  </si>
  <si>
    <t>ИП Сахарчук С.Л.</t>
  </si>
  <si>
    <t>г.Гродно,ул.Врублевского,70-9, Р/с3013600007801 ,ОАО "Белгазпромбанк", код 153001742. УНП 591212151</t>
  </si>
  <si>
    <t>№ 384 от 15.12.2015г.</t>
  </si>
  <si>
    <t>ЧТУП "Вовна"</t>
  </si>
  <si>
    <t>г.Брест, Р/с301235977001,ЗАО Банк ВТБ (Беларусь)", код 153001108. УНП 290711156</t>
  </si>
  <si>
    <t>№ б/н от 18.12.2015г.</t>
  </si>
  <si>
    <t>Вовна С.В.</t>
  </si>
  <si>
    <t>ИП Гавриленко А.К.</t>
  </si>
  <si>
    <t>б/н от 09.01.2016г.</t>
  </si>
  <si>
    <t>ООО "Двигатель"</t>
  </si>
  <si>
    <t>224028, г. Брест, ул. Задворская, д. 1</t>
  </si>
  <si>
    <t>___________________ И.А. Посвенчук</t>
  </si>
  <si>
    <t>ЧТЭУП "АЛМАЗ-Логистик"</t>
  </si>
  <si>
    <t>___________________ Т.С. Попетская</t>
  </si>
  <si>
    <t>№ 1-2016 от 28.01.2016</t>
  </si>
  <si>
    <t>ООО "Вива-Логистик Плюс"</t>
  </si>
  <si>
    <t>220015, г. Минск, ул. Пономаренко, 35А, оф. 510, р/с 3012001313002 ОАО "Банк БелВЭБ" (Минск, Мясникова, 32), код 226, УНП 191700863</t>
  </si>
  <si>
    <t>___________________ М.С. Полчанинов</t>
  </si>
  <si>
    <t>ИП Галаш Виктор Даниилович</t>
  </si>
  <si>
    <t>224023, г. Брест, ул. Московская, д. 336/2, кв. 86, р/с 3013107991003 в ЗАО "Идея Банк" (Минск, З.Бядули, 11, УНП банка 807000122), код 153001755, УНП 291375436</t>
  </si>
  <si>
    <t>220030, г. Минск, ул. Карла Маркса, д. 25, п. 1, оф. 10н, р/с 3012038414015 в ОАО "Приорбанк" ЦБУ 115 (Минск, Кропоткина, 91), код 749, УНП 191754379</t>
  </si>
  <si>
    <t>___________________ А.К. Гавриленко</t>
  </si>
  <si>
    <t>___________________ В.Д. Галаш</t>
  </si>
  <si>
    <t>ИП Галаш В.Д.</t>
  </si>
  <si>
    <t>№ 1421П от 04.02.2016</t>
  </si>
  <si>
    <t>№ 06/16 от 04.02.2016</t>
  </si>
  <si>
    <t>№ 040216 от 04.02.2016</t>
  </si>
  <si>
    <t>Частное предприятие "Скул"</t>
  </si>
  <si>
    <t>220114, пр-т Независимости, д. 169, оф. 413, УНП 691765643, р/с 3012215920019 в ЗАО "Банк ВТБ" (ул. Московская, 14, 220007, Минск), МФО 153001108</t>
  </si>
  <si>
    <t>№ 12/02-2016/П-1 от 12.02.2016</t>
  </si>
  <si>
    <t>Зам. директора</t>
  </si>
  <si>
    <t>___________________ А.Н. Филипчик</t>
  </si>
  <si>
    <t>ООО "Форвард"</t>
  </si>
  <si>
    <t>___________________ С.В. Козлова</t>
  </si>
  <si>
    <t>№09-02/5 от 09.02.2016</t>
  </si>
  <si>
    <t>Россия, 241035, г. Брянск, ул. Ульянова, д. 31, ИНН 3255516206, КПП 325701001, р/с 40702810300001490088 в ЗАО "РАЙФФАЙЗЕНБАНК" г. Москва, к/с 30101810200000000700, БИК 044525700</t>
  </si>
  <si>
    <t>ООО "Евроторг"</t>
  </si>
  <si>
    <t>223070, г. Минск, ул. Казинца 52А, УНП 101168731, р/с 3012001389018 в «Приорбанк» ОАО ЦБУ 111 г. Минск (пр-т Машерова, 40), БИК 153001749</t>
  </si>
  <si>
    <t>Директор по логистике</t>
  </si>
  <si>
    <t>___________________ А.В. Высоцкий</t>
  </si>
  <si>
    <t>б/н от 16.02.2016 г.</t>
  </si>
  <si>
    <t>ИП Неделько Ю.А.</t>
  </si>
  <si>
    <t>220019, г. Минск, ул. Сухаревская, д. 60, кв. 128, УНП 190642860, р/с 3013006775006, в/с 3013006775006 (рос. руб.) в ОАО "Банк БелВЭБ" (г. Минск, пр-т Победителей, д. 29), код 226</t>
  </si>
  <si>
    <t>№ 01-03-4/5 от 01.03.2016</t>
  </si>
  <si>
    <t>___________________ Ю.А. Неделько</t>
  </si>
  <si>
    <t>отправления</t>
  </si>
  <si>
    <t>___________________/Адам Гром/</t>
  </si>
  <si>
    <t>ADAM GROM, Польша (PPHU «ADAGRO»)</t>
  </si>
  <si>
    <t>РП г.Катовице,ул.Моджеева,7/7, ИБАН: PL 98124013301787001003196419 ,Банк Польска Касса Опеки СА-Банк Пекао СА,СВИФТ :PKOPPLPWXXX</t>
  </si>
  <si>
    <t>СООО "СтАнЛех АГ"</t>
  </si>
  <si>
    <t>N FT-1 от 14.04.2016</t>
  </si>
  <si>
    <t>ИП Студенкин М.И.</t>
  </si>
  <si>
    <t>№21-04/3 от 21.04.2016</t>
  </si>
  <si>
    <t>___________________ М.И. Студенкин</t>
  </si>
  <si>
    <t>ИП Студеникин М.И.</t>
  </si>
  <si>
    <t>- путевой лист</t>
  </si>
  <si>
    <t>Беларусь</t>
  </si>
  <si>
    <t>ИП Щербицкий А.В.</t>
  </si>
  <si>
    <t>___________________ А.В. Щербицкий</t>
  </si>
  <si>
    <t>№02-01/177 от 13.06.2016</t>
  </si>
  <si>
    <t>ИП Ярмолюк И.С.</t>
  </si>
  <si>
    <t>224025, г. Брест, пер. Соновый, д. 16/1, кв. 102, р/с 3013780497012 в ЦКО №1 Дирекции ОАО "Белинвестбанк" по Брестской области, код 153001742, УНН: 290970271</t>
  </si>
  <si>
    <t>___________________ И.С. Ярмолюк</t>
  </si>
  <si>
    <t xml:space="preserve"> </t>
  </si>
  <si>
    <t>ПТ ООО "Тайфун"</t>
  </si>
  <si>
    <t>230003, г. Гродно, ул. Аульская, д. 18, р/с 3012600181011 в ЦБУ 600 «Приорбанк» г.  Гродно, код 749, УНН 500586454</t>
  </si>
  <si>
    <t>Зам. ген. директора</t>
  </si>
  <si>
    <t>___________________ С.М. Шилин</t>
  </si>
  <si>
    <t>ООО "ЕвроТракЗапад"</t>
  </si>
  <si>
    <t>№ ЕТЗ-П-16-90 от 03 августа 2016 г.</t>
  </si>
  <si>
    <t>231761, г. Скидель, ул. Луговая, д. 3, р/с 3012004210692  в ЦБУ №421 в г. Скидель филиала №400-ГОУ ОАО «АСБ БеларусБанк» код банка 152101752, УНП 590979224, ОКПО 29234598</t>
  </si>
  <si>
    <t>ООО "Атэком"</t>
  </si>
  <si>
    <t>220090, г. Минск, Логойский тракт, д. 22А, оф. 502, р/с 3012335840037 в ЗАО "Банк ВТБ" (г.Минск, ул.Московская, 14), код 153001108, УНП 191032452, ОКПО 378112655000</t>
  </si>
  <si>
    <t>№ MVCR007 от 25.06.2016</t>
  </si>
  <si>
    <t>___________________ Т.В. Шостак</t>
  </si>
  <si>
    <t>___________________ А.Н. Петушок</t>
  </si>
  <si>
    <t>ЧП «ЛизТрансКомпани»</t>
  </si>
  <si>
    <t>222526, Минская обл, г.Борисов, ул.Брилевская, 70-39, р/с 3012981300013 в отд. №933  ОАО «Белинвестбанк» (г.Борисов, ул Орджоникидзе, 55),  БИК 153001739, УНП 691482427</t>
  </si>
  <si>
    <t>б/н от 01.08.2016-э</t>
  </si>
  <si>
    <t>___________________ О. В. Якубовская</t>
  </si>
  <si>
    <t>ИООО "БиссолоГабриэлеФарм"</t>
  </si>
  <si>
    <t>224880, Брестская обл., Кобринский р-он, д. Залесье, ул. Суворова, д. 21, р/с 3012410900010 в РКЦ №27 г.Кобрин Филиал ОАО "БелАПБ" БОУ, МФО 150501401, УНН 290504719</t>
  </si>
  <si>
    <t>№02-02/04 от 19.08.2016</t>
  </si>
  <si>
    <t>___________________ Тосини Андреа</t>
  </si>
  <si>
    <t>ООО «Мясная губерня»</t>
  </si>
  <si>
    <t>220035, г. Минск, ул. Тимирязева, д. 72/1, оф. 310, р\с 3012017867000  Банк «БелСвиссБанк» (г. Минск, ул. Тимирязева 65б), код 153001175, УНП 191835136</t>
  </si>
  <si>
    <t>№02-02/05 от 19.08.2016</t>
  </si>
  <si>
    <t>Управляющий</t>
  </si>
  <si>
    <t>___________________ Н.А. Дубовский</t>
  </si>
  <si>
    <t>ООО "Эскадра"</t>
  </si>
  <si>
    <t>Менеджер по ОМП</t>
  </si>
  <si>
    <t>___________________ А.В. Артёмчик</t>
  </si>
  <si>
    <t>ИП Самусик Е.А.</t>
  </si>
  <si>
    <t>___________________ Е.А. Самусик</t>
  </si>
  <si>
    <t>б/н от 24.08.2016</t>
  </si>
  <si>
    <t>SP.z.o.o. “CeresInternational”</t>
  </si>
  <si>
    <t>№02-02/14 от 25.08.2016</t>
  </si>
  <si>
    <t>___________________ Матей Юхач</t>
  </si>
  <si>
    <t>РП, 62-310, Pyzdry, ul. Polna 29, Ident. 631084741,  NIP 972-08-20-859, Konto EUR: PL08 1600 1084 0004 0501 4671 4021 SWIFT PPABPLPK, Nazwabanku: BNP PARIBAS BANK POLSKA S.A. (Adress: ul.Suwak 3, 02-676 Warszawa, Oddzial Poznan, ul. Wierzbiecice 1, 61-569 Poznan)</t>
  </si>
  <si>
    <t>__________________ О.Е. Баранчиков</t>
  </si>
  <si>
    <t>О.Е. Баранчиков</t>
  </si>
  <si>
    <t>ф. ПС 119</t>
  </si>
  <si>
    <t>Уведомление о получении почтового отправления</t>
  </si>
  <si>
    <r>
      <rPr>
        <sz val="12"/>
        <color theme="1"/>
        <rFont val="Wingdings"/>
        <charset val="2"/>
      </rPr>
      <t>x</t>
    </r>
    <r>
      <rPr>
        <sz val="12"/>
        <color theme="1"/>
        <rFont val="Arial"/>
        <family val="2"/>
        <charset val="204"/>
      </rPr>
      <t xml:space="preserve">  Простое        </t>
    </r>
    <r>
      <rPr>
        <sz val="12"/>
        <color theme="1"/>
        <rFont val="Wingdings"/>
        <charset val="2"/>
      </rPr>
      <t>¨</t>
    </r>
    <r>
      <rPr>
        <sz val="12"/>
        <color theme="1"/>
        <rFont val="Arial"/>
        <family val="2"/>
        <charset val="204"/>
      </rPr>
      <t xml:space="preserve">   Заказное       </t>
    </r>
    <r>
      <rPr>
        <sz val="12"/>
        <color theme="1"/>
        <rFont val="Wingdings"/>
        <charset val="2"/>
      </rPr>
      <t>¨</t>
    </r>
    <r>
      <rPr>
        <sz val="12"/>
        <color theme="1"/>
        <rFont val="Arial"/>
        <family val="2"/>
        <charset val="204"/>
      </rPr>
      <t xml:space="preserve">   Электронное</t>
    </r>
  </si>
  <si>
    <t>Кому:</t>
  </si>
  <si>
    <t>Куда:</t>
  </si>
  <si>
    <t>Оттиск КШ дня</t>
  </si>
  <si>
    <t>поступления</t>
  </si>
  <si>
    <t>уведомления</t>
  </si>
  <si>
    <t>заказное письмо</t>
  </si>
  <si>
    <t>из</t>
  </si>
  <si>
    <t>Бреста</t>
  </si>
  <si>
    <t>(вид почтового отправления)</t>
  </si>
  <si>
    <t xml:space="preserve">с объявленной ценностью на _______________________ руб. с наложенным </t>
  </si>
  <si>
    <t>платежом на __________________ руб. отправленное ___________________</t>
  </si>
  <si>
    <t>(число, месяц, год)</t>
  </si>
  <si>
    <t>на имя</t>
  </si>
  <si>
    <t>по адресу</t>
  </si>
  <si>
    <t>(почт. отправл.)</t>
  </si>
  <si>
    <t>(подпись получателя)</t>
  </si>
  <si>
    <t>(оттиск КШ дня</t>
  </si>
  <si>
    <t>уведомления)</t>
  </si>
  <si>
    <t>календ. шт.</t>
  </si>
  <si>
    <t>поступления почтового</t>
  </si>
  <si>
    <t>отправления)</t>
  </si>
  <si>
    <t>Подпись руководителя объекта почтовой связи</t>
  </si>
  <si>
    <t>(место подписи)</t>
  </si>
  <si>
    <t>.</t>
  </si>
  <si>
    <t>..</t>
  </si>
  <si>
    <t>ООО "Фрутреал"</t>
  </si>
  <si>
    <t>№26-08/РБ-429 от 28.08.2016</t>
  </si>
  <si>
    <t>за № _____</t>
  </si>
  <si>
    <t>Менеджер по перевозкам</t>
  </si>
  <si>
    <t xml:space="preserve">Менеджер по перевозкам </t>
  </si>
  <si>
    <t>ЧАУП "Автосанс"</t>
  </si>
  <si>
    <t>213827, г. Бобруйск, ул. Красноармейская, д. 55, оф. 4, р/с 3012420115017 в ЦБУ №831 г.Бобруйск ОАО "Белинвестбанк" (г.Бобруйск, ул.Пушкина, 198), код 739, УНП 790385907</t>
  </si>
  <si>
    <t>№27/16 от 30.08.2016</t>
  </si>
  <si>
    <t>___________________ А.А. Сугако</t>
  </si>
  <si>
    <t>ИП Ашметкова В.В.</t>
  </si>
  <si>
    <t>212038, г. Могилев, ул. Фатина, д. 6, кв. 284, р/с 3013430891014 в ЗАО "БТА Банк" ЦБУ "Могилевская дирекция" (г. Минск, ул. Веры Хоружей, д. 20), МФО 153001704, УНП 791042026</t>
  </si>
  <si>
    <t>№683 от 05.09.2016</t>
  </si>
  <si>
    <t>___________________ В.В. Ашметкова</t>
  </si>
  <si>
    <t>Унитарное предприятие "Стомил Санок БР"</t>
  </si>
  <si>
    <t>224020, г. Брест, ул. Московская, 202, р/с 3012441101013 дирекция ОАО "Белинвестбанк" по Брестской области (г. Брест, ул. Советская, 50), код 739, УНН 809000829, ОКПО 295302101000</t>
  </si>
  <si>
    <t>№02-02/26 от 06.09.2016</t>
  </si>
  <si>
    <t>___________________ Игнати Шишко</t>
  </si>
  <si>
    <t>ЧУП «Будрекс»</t>
  </si>
  <si>
    <t>224011, г. Брест, ул. Луцкая, 37-252, р/с 3012300057732 , Брестская областная дирек-ция, ОАО «Белгазпромбанк», г. Брест, МФО 153001742, УНП 290361245</t>
  </si>
  <si>
    <t>№108 от 14.09.2016</t>
  </si>
  <si>
    <t>___________________ И.И. Гляненко</t>
  </si>
  <si>
    <t>№85 от 20.09.2016</t>
  </si>
  <si>
    <t>223141, Минская обл., г. Логойск, ул. Я.Купалы, д. 15, оф. 3, р/с 3012057080014 в ОАО "Банк Москва-Минск" (г. Минск, ул. Коммунистическая, 49), МФО 153001272, УНП 690846950, ОКПО 300785716000</t>
  </si>
  <si>
    <t>Частное предприятие "Савина-трейд"</t>
  </si>
  <si>
    <t>___________________ Н.И. Самойлович</t>
  </si>
  <si>
    <t>ООО «Белеврологистик-ТЦ»</t>
  </si>
  <si>
    <t>б/н от 22.09.2016</t>
  </si>
  <si>
    <t>___________________ Е.Д. Курсо</t>
  </si>
  <si>
    <t xml:space="preserve">223043, Минский р-н,
д. Цнянка, ул. Рождественская д. 5А, к. 32-В, р/с 3012158365017 в ОАО БПС-Сбербанк ЦБУ №703  (г. Минск, ул. Кальварийская 4А), БИК153001369, УНП 691537851
</t>
  </si>
  <si>
    <t>Л.Г. Ходырева</t>
  </si>
  <si>
    <t>Россия, 427000, Удмуртская республика, с. Завьялово, ул. Соловьиная, д. 2, паспорт 94 05 694169, выдан отделом внутренних дел Индустриального района г. Ижевска 01.06.2006</t>
  </si>
  <si>
    <t>№02-02/32 от 20.09.2016</t>
  </si>
  <si>
    <t>___________________ Л.Г. Ходырева</t>
  </si>
  <si>
    <t>ООО "Созвездие-Транс"</t>
  </si>
  <si>
    <t>№294 от 26.09.2016</t>
  </si>
  <si>
    <t>___________________ Е.Л. Николаева</t>
  </si>
  <si>
    <t>ООО «ПаллетенЛюкс»</t>
  </si>
  <si>
    <t>___________________ Н.А. Евстратова</t>
  </si>
  <si>
    <t>№02-02/36 от 28.09.2016</t>
  </si>
  <si>
    <t>225920, Брестская обл., Малоритский р-он, Хотиславский с/с, д. 9, р/с № 3012761302708 (BYN), в ЦБУ № 120 филиала № 100 БОУ ОАО «АСБ Беларусбанк» г. Малорита, МФО 150501246, УНП 290484322, ОКПО 29421538</t>
  </si>
  <si>
    <t>ООО «Хорс»</t>
  </si>
  <si>
    <t>___________________ И.С. Крысенкова</t>
  </si>
  <si>
    <t>№230-1-Б от 03.10.2016</t>
  </si>
  <si>
    <t>Ген. директор</t>
  </si>
  <si>
    <t>308519, Белгородская обл, Белгородский р-н, Северный п, Гоголя ул, дом № 40А , р/с 40702810664400000296 в фил. «Воронежский» ПАО КБ «УБРИР», БИК 042007823, к/с 30101810400000000823, ИНН 3102636320, КПП 310201001, ОГРН 1143130002883</t>
  </si>
  <si>
    <t>ООО "ОМА"</t>
  </si>
  <si>
    <t>Зам. нач. управ. логистики</t>
  </si>
  <si>
    <t>___________________ Е.В. Анкуда</t>
  </si>
  <si>
    <t>№257 от 17.08.2016</t>
  </si>
  <si>
    <t>220075, г. Минск, пер. Промышленный, д. 12А. оф.36, р/с 3012104280011(BYR), в ЗАО «Минский транзитный банк», г. Минск, код 117, УНП 100005713, ОКПО 14500344</t>
  </si>
  <si>
    <t>ООО "РайноТрейд"</t>
  </si>
  <si>
    <t>б/н от 06.10.2016</t>
  </si>
  <si>
    <t>___________________ А.Б. Юркевич</t>
  </si>
  <si>
    <t>225054, Брестская обл., Каменецкий р-он, Пелищенский с/с, а/г Пелище, ул. Первомайская, д. 52, р/с 3012773372696 в фил. №100 БОУ ОАО "Беларусбанк", БИК 150501246, УНП 290848746, ОКПО 302952051000</t>
  </si>
  <si>
    <t>ОАО "Продтовары"</t>
  </si>
  <si>
    <t>___________________ Д.В. Гунько</t>
  </si>
  <si>
    <t>№02-02/39 от 10.10.2016</t>
  </si>
  <si>
    <t>224005, г. Брест, ул. Комсомольская, д. 34, р/с 3012500004012 в ОАО "Приорбанк" ЦБУ 500 (г. Брест, бул. Шевченко, д. 6), МФО 153001749, УНП 200019837, ОКПО 01567909</t>
  </si>
  <si>
    <t>Россия, 243020, Брянская обл., г. Новозыбков, ул. Ленина, д. 20, оф. 12, р/с 40702810608440026330 в ОАО "Газэнергобанк" (г. Калуга, ул. Плеханова, 4) к/с 30101810600000000701, БИК 042908701, ИНН 3241012417, КПП 324101001, ОКПО 22347201</t>
  </si>
  <si>
    <t>Первый зам. ген. директора</t>
  </si>
  <si>
    <t>ООО "РАТЭК"</t>
  </si>
  <si>
    <t>Россия, 334091, г. Ростов-на-Дону, ул. Каширская, д. 7, оф. 13</t>
  </si>
  <si>
    <t>№02-02/48 от 18.10.2016</t>
  </si>
  <si>
    <t>___________________ В.П. Пивоваров</t>
  </si>
  <si>
    <t>ИП Слинченко А.А.</t>
  </si>
  <si>
    <t>224030, г. Брест, ул. Карбышева, 84-82, р/с 3013082610418 в ЗАО «БТА Банк» г. Минск (ул. Веры Хоружей, 20) ЦБУ «Брестская дирекция» г. Брест (ул. Ленина, 48), МФО 153001704, УНП 290471015</t>
  </si>
  <si>
    <t>№02-02/49 от 20.10.2016</t>
  </si>
  <si>
    <t>___________________ А.А. Слинченко</t>
  </si>
  <si>
    <t>ЧУП "БелХАПТранс"</t>
  </si>
  <si>
    <t>225521, Брестская обл., Столинский р-он, д. Ворони, пер. Песчаный, д. 3, УНП 291187590, р/с 3012246420012 в ф-ле ОАО "Белагропромбанк" БОУ, МФО 150501401</t>
  </si>
  <si>
    <t>№3 от 02.11.2016</t>
  </si>
  <si>
    <t>___________________ А.П. Хмарук</t>
  </si>
  <si>
    <t>OVERIS Sp. z o.o.</t>
  </si>
  <si>
    <t>Ul. Łapiguz 91, 21-400, Łuków, Polska, NIP 8252176323, REGON 363078624, +48-789409520</t>
  </si>
  <si>
    <t>№02-02/52 от 02.11.2016</t>
  </si>
  <si>
    <t>___________________ K. Łukasik</t>
  </si>
  <si>
    <t>ЧПУП "Белстиль"</t>
  </si>
  <si>
    <t>220090, г. Минск, Логойский тракт, д. 22А, оф. 501, р/с 3012137077007 BYN, в/с 3012137077010 EUR в ОАО "Банк БелВЭБ" ЦБУ в г. Светлогорске (247434, г. Светлогорск, ул. Ленина, д. 45А), код 153001226, УНП 400324267, ОКПО 28829906</t>
  </si>
  <si>
    <t>___________________ А.А. Шостак</t>
  </si>
  <si>
    <t xml:space="preserve">С/тягач DAF AM 0913-1 , п/прицеп Koegel  A 3753 E-1 </t>
  </si>
  <si>
    <t>ЧТУП "ВИВТрансфер"</t>
  </si>
  <si>
    <t>___________________ В.В. Бондаренко</t>
  </si>
  <si>
    <t>220019, г. Минск, ул. Шаранговича, д. 19, корп. 1., оф. 134, УНП 192533757, р/с 3012037511011 в ОАО "Банк Москва-Минск" (г. Минск, ул. Коммунистическая, д. 49), МФО 153001272</t>
  </si>
  <si>
    <t>ООО «Голденроуд»</t>
  </si>
  <si>
    <t>224004, г. Брест, ул. Лейтенанта Рябцева, 37, пом. 27, УНП 291079833, р/с 3012441546014 ОАО «Белинвестбанк» г. Минск (220002, г.Минск, пр-т Машерова, 29), МФО 153001739</t>
  </si>
  <si>
    <t>№ 02-02/56  от 04.11.2016</t>
  </si>
  <si>
    <t>___________________ О.Л. Тишко</t>
  </si>
  <si>
    <t>ООО "ФердиналГрупп"</t>
  </si>
  <si>
    <t>220019, г. Минск, ул. Горецкого, д. 7, оф. 114, УНП 191753634, р/с 3012252360004 в ОАО "БНБ-Банк" (г. Минск, пр-т Независимости, д. 87А), МФО 153001765</t>
  </si>
  <si>
    <t>№ 02-02/50  от 29.10.2016</t>
  </si>
  <si>
    <t>___________________ А.А. Гринивецкий</t>
  </si>
  <si>
    <t>№ MVSR 019 от 01.11.2016</t>
  </si>
  <si>
    <t>вес до 21 т</t>
  </si>
  <si>
    <t>14 банковских дней после получения оригиналов документов</t>
  </si>
  <si>
    <t>ЗАО "Транскомлогист и к"</t>
  </si>
  <si>
    <t>№ П02203 от 11.11.2016</t>
  </si>
  <si>
    <t>___________________ С.И. Остапенко</t>
  </si>
  <si>
    <t>ООО «ПолиХим-Стандарт»</t>
  </si>
  <si>
    <t>223051, Минская обл., Минский р-н, г.п. Колодищи, ул. Минская, д. 5, пом. 18, УНН 192296906, ОКПО 381821795000, р/с 3012217890017 в ЗАО "Банк ВТБ(Беларусь)" (220007 , г.Минск, ул. Московская, д. 14), БИК 153001108</t>
  </si>
  <si>
    <t>№ 02-02/62 от 14.11.2016</t>
  </si>
  <si>
    <t>___________________ В.Г. Ведмедь</t>
  </si>
  <si>
    <t>ИП Коляда Т.И.</t>
  </si>
  <si>
    <t>224002, г. Брест, ул. Защитников Отечества, д. 13, кв. 29, УНП 290293794, р/с 3013440287012 в Дирекции ОАО "Белинвестбанк" по БО отд. 400, БИК 153001739</t>
  </si>
  <si>
    <t>№ 02-02/64 от 14.11.2016</t>
  </si>
  <si>
    <t>___________________ Т.И. Коляда</t>
  </si>
  <si>
    <t>ЧТУП «ДиаПолТранс»</t>
  </si>
  <si>
    <t xml:space="preserve">  </t>
  </si>
  <si>
    <t>___________________ Е.А. Гасанов</t>
  </si>
  <si>
    <t>ООО «МариборЛогистик»</t>
  </si>
  <si>
    <t>220035, г.Минск, ул.Тимирязева, д.67, каб.1628, п/я 120, УНП 192229785, р/с 3012180756001 в ОАО «Банк БелВЭБ» Минское отделение «Центральное» (220004 г.Минск, ул.Заславская, 10), Код 226</t>
  </si>
  <si>
    <t>№ 175/16 от 22.11.2016</t>
  </si>
  <si>
    <t>___________________ И.Г. Роскач</t>
  </si>
  <si>
    <t>ООО "ПромСипИнвест"</t>
  </si>
  <si>
    <t>224026, г. Брест, ул. Карбышева, 37-25, УНП 290952015, р/с 3012300064783 в БОД ОАО "Белгазпромбанк" (г. Брест, ул. Сов. Конституции, 15), МФО 153001742</t>
  </si>
  <si>
    <t>___________________ О.В. Бубен</t>
  </si>
  <si>
    <t>ОАО "БЗПИ"</t>
  </si>
  <si>
    <t>222511, Минская обл., г. Борисов, ул. Даумана, 97, УНП 600012297, р/с 3012140766015 в ОАО «БПС-Сбербанк» ЦБУ № 502 РД № 700 по г. Минску и обл. (г. Борисов, ул. Орджоникидзе, 5А), МФО 153001369</t>
  </si>
  <si>
    <t>№ 02-02/71 от 21.11.2016</t>
  </si>
  <si>
    <t>___________________ В.В. Козловский</t>
  </si>
  <si>
    <t>№92 от 22.08.2016</t>
  </si>
  <si>
    <t>ООО «Алистэй»</t>
  </si>
  <si>
    <t>220136, г.Минск, ул. Притыцкого, д. 93, оф. 12, УНП 191306290, р/с 3012384000017  в  ЗАО Банк ВТБ (г. Минск, ул. Московская, 14),  код 108</t>
  </si>
  <si>
    <t>б/н от 01.01.2016</t>
  </si>
  <si>
    <t>___________________ Е.А. Терещенко</t>
  </si>
  <si>
    <t>ОДО «НП-СЕРВИС»</t>
  </si>
  <si>
    <t>220056, г. Минск, ул. Героев 120-й  дивизии, 15-81, УНН 100080849, ОКПО 28629248, р/с № 3012035390021 в ЗАО «БТА Банк» (г. Минск,  ул. В. Хоружей, д.20), БИК 153001704</t>
  </si>
  <si>
    <t>№ 1001 от 29.11.2016</t>
  </si>
  <si>
    <t>Нач. отдела МиД</t>
  </si>
  <si>
    <t>___________________ Д.Л. Медвецкая</t>
  </si>
  <si>
    <t>ООО "ДВКПак"</t>
  </si>
  <si>
    <t>230016, Гродненская обл., Гродненский р-н, д. Пушкари, УНП 590778653, р/с 3012620206019 в ОАО «Приорбанк» (г. Гродно, ул. Горького, 91), МФО 153001749</t>
  </si>
  <si>
    <t>б/н от 29.11.2016</t>
  </si>
  <si>
    <t>___________________ И.В. Струков</t>
  </si>
  <si>
    <t>ООО «Смолскрап»</t>
  </si>
  <si>
    <t>№ 02-02/92 от 15.12.2016</t>
  </si>
  <si>
    <t>___________________ И.В. Козлов</t>
  </si>
  <si>
    <t>ЧТУП  «ГрадиентТранс»</t>
  </si>
  <si>
    <t>___________________ С.В. Корзун</t>
  </si>
  <si>
    <t xml:space="preserve">224023, г. Брест, ул. Сябровская, 73-0, УНП 290701950, р/с 3012300060181 в ОАО «БЕЛГАЗПРОМБАНК» Г.МИНСК, МФО 153001742
</t>
  </si>
  <si>
    <t xml:space="preserve">Россия, Смоленская обл., г. Рославль, 2-ой пер. Карла Маркса, д. 3А (почт. г. Рославль, 16 мкр., д. 3, кв. 32), ИНН: 6725015100, КПП: 672501001, ОГРН: 1096725000877, ОКПО: 80227019, р/с 407 028 104 023 300 002 13 в ПАО «БАНК УРАЛСИБ»  (PJSC «BANK URALSIB»), место нахождение и почтовый адрес банка: 119048, г. Москва, ул. Ефремова, дом 8,  БИК: 044825787, к/сч: 301 018 101 000 000 007 87
</t>
  </si>
  <si>
    <t>б/н от 13.12.2016</t>
  </si>
  <si>
    <t>№ 02-02/90 от 12.12.2016</t>
  </si>
  <si>
    <t>ООО «Точка опоры»</t>
  </si>
  <si>
    <t>222304, Минская обл., г. Молодечно, ул. Либаво-Роменская, 56А, УНП 690387150, ОКПО 29310862, р/с 301 219 104 0017 в ЦБУ 932 ОАО «Белинвестбанк» ( г. Молодечно, пер. Партизанский, 1), код 739</t>
  </si>
  <si>
    <t>___________________ Д.П. Лебецкий</t>
  </si>
  <si>
    <t>ТзОВ "Волинська логістична компанія"</t>
  </si>
  <si>
    <t>43000, Луцьк, Волинська обл., вул .Островського 35, кв. 2 (43010, м. Луцьк, вул. Коперника, 8А), ЄДРПОУ 40614245, р/р 2600201795024 в ПАТ КРЕДОБАНК у м. Луцьку, МФО 325365</t>
  </si>
  <si>
    <t>16/12-01 от 16.12.2016</t>
  </si>
  <si>
    <t>___________________ И.В. Калинина</t>
  </si>
  <si>
    <t>ИП Елисеенко Анатолий Васильевич</t>
  </si>
  <si>
    <t xml:space="preserve">213808, Могилевская обл., г. Бобруйск, ул. Гоголя, 196-76 , УНН 790729227, р/с 3013030997413 в ОАО «Евроторгинвестбанк» ЦБУ №601 (г. Бобруйск, ул. К. Маркса, 38, УНП 807000043), код 735
</t>
  </si>
  <si>
    <t>б/н от 14.12.2016</t>
  </si>
  <si>
    <t>ИП Елисеенко А.В.</t>
  </si>
  <si>
    <t>___________________ А.В. Елисеенко</t>
  </si>
  <si>
    <t>ИП Заяц Андрей Георгиевич</t>
  </si>
  <si>
    <t>№ 93 от 20.12.2016</t>
  </si>
  <si>
    <t>ИП Заяц А.Г.</t>
  </si>
  <si>
    <t>___________________ А.Г. Заяц</t>
  </si>
  <si>
    <t>ООО «ПраймФуд»</t>
  </si>
  <si>
    <t xml:space="preserve">Россия, 420012, г. Казань, РТ,  ул. Щапова, д. 18, пом. 12, ИНН/КПП 1655330315/165501001, ОГРН 1151690048784, р/сч 40702810723000002560 в Поволжский филиал АО «Райффайзенбанк» к/сч 30101810300000000847, БИК 042202847
</t>
  </si>
  <si>
    <t>___________________ С.Э. Ганский</t>
  </si>
  <si>
    <t>Гинеральный директор</t>
  </si>
  <si>
    <t>№ 21/12-16/2Т от 21.12.2016</t>
  </si>
  <si>
    <t>ЧУП «АвтоЭкспрессШарм»</t>
  </si>
  <si>
    <t>___________________ А.П. Блищ</t>
  </si>
  <si>
    <t>247519, Гомельская обл., Речицкий р-н, д. Озерщина, ул. Чапаева, д. 23 (247483, Гомельская обл., 
г. Речица, а/я 7 ), УНП 490571756 , р/с 3012114693013 в ДО № 327 ОАО «БПС-СБЕРБанк» (г. Речица), БИК 153001369</t>
  </si>
  <si>
    <t>№ 3.961 от 28.12.2016</t>
  </si>
  <si>
    <t>ООО «ЛогистикаБай»</t>
  </si>
  <si>
    <t>224030,г.Брест, пр-т Машерова, д. 35, оф. 31 (224028, г. Брест, ул. Ленинградская, 2), УНП 291260651, р/с 3012649430011 в ЗАО «Трастбанк» (г.Брест, ул.К.Маркса, д. 82),  МФО 153001288, fifty-fifty2006@yandex.ru, тел./факс: +375-162-531391</t>
  </si>
  <si>
    <t>№ 792-17К от 11.01.2017</t>
  </si>
  <si>
    <t>___________________ Е.И. Цветкова</t>
  </si>
  <si>
    <t>Частное предприятие «Техно-999»</t>
  </si>
  <si>
    <t xml:space="preserve">213763, Могилевская обл., г. Осиповичи, ул. Ленинская, д. 88А, оф. №28 (213761, Республика Беларусь, Могилёвская обл., г. Осиповичи,ул. Майстренко, д. 1 ), УНП  790881911, ОКПО 302793017000, р/c: 3012000583551 в  ОАО «Белгазпромбанк» ЦБУ №706 (г. Минск, ул. Богдановича, 116), МФО 153001742
</t>
  </si>
  <si>
    <t>№ 30 от 26.01.2017</t>
  </si>
  <si>
    <t>___________________ Ю. А. Ковальский</t>
  </si>
  <si>
    <t>Частное предприятие «Промстальрезерв»</t>
  </si>
  <si>
    <t>220092, г. Минск, ул.Бельского, 15, оф. 137/2, УНП 192 162 818, ОКПО 381 437 885 000, р/с 3 012 063 210 012 в ОАО «Банк Москва-Минск» (г. Минск, ул. Коммунистическая, 49), МФО 153001272, +375-17-363-53-54, 256-67-30</t>
  </si>
  <si>
    <t>___________________ В. Э. Бейшар</t>
  </si>
  <si>
    <t>ИП Горевая Екатерина Владимировна</t>
  </si>
  <si>
    <t>ИП Горевая Е.В.</t>
  </si>
  <si>
    <t>___________________ Е. В. Горевая</t>
  </si>
  <si>
    <t>224012, г. Брест, ул. Московская, д. 124/1, УНП 290675741, р/с 3013269451003 в ЗАО "Идея Банк" (220034, г. Минск, ул. З. Бядули, д. 11), МФО 153001755</t>
  </si>
  <si>
    <t>№ 02-02/06 от 16.02.2017</t>
  </si>
  <si>
    <t>Kubi sp. z o.o.</t>
  </si>
  <si>
    <t>№ 02-02/09 от 27.02.2017</t>
  </si>
  <si>
    <t xml:space="preserve">Polska,  84-207 Koleczkowo, Łemżyce Aleja Parku Krajobrazowego 70, NIP 5862205056, e-mail: biuro@kubi.pl, http://www.kubi.pl/ , tel./fax:  +48500 077 841, tel. komórkowy: +48500008480
</t>
  </si>
  <si>
    <t>___________________ W. Bieniek</t>
  </si>
  <si>
    <t>Właściciel</t>
  </si>
  <si>
    <t>ООО "Офис Вайс"</t>
  </si>
  <si>
    <t>220012, г. Минск, ул. Сурганова, д. 28, оф. 505, УНП 191692920, ОКПО 380149385, р/с 3012123760017 в ЗАО "МТБанк" (220033, г. Минск, ул. Толстого, д. 10), МФО 153001117, info@ow.by, +375172808050</t>
  </si>
  <si>
    <t>№ П030317-40 от 03.03.2017</t>
  </si>
  <si>
    <t>___________________ В.В. Судаков</t>
  </si>
  <si>
    <t>Scandica Paweł Sokołowski</t>
  </si>
  <si>
    <t>___________________ P. Sokołowski</t>
  </si>
  <si>
    <t>ЧПТУП "МАЙРИКС"</t>
  </si>
  <si>
    <t>ИП Лось А.С.</t>
  </si>
  <si>
    <t>Polska, 15-111 Białystok, Aleja Tysiąclecia Państwa Polskiego, 4, REGON 200023928, NIP 9660002257,  RACHUNEK EUR :  PL06-1750-1080-0000-0000-3259-0187 RAIFFEISEN BANK POLSKA S.A. (ul. Piękna 20, 00-549 Warszawa) SWIFT: RCBWPLPW, office@scandica.pl, +48 85 661 02 68</t>
  </si>
  <si>
    <t>№ 06/03/17 от 06.03.2017</t>
  </si>
  <si>
    <t>___________________ Б.Б.Свинцицкий</t>
  </si>
  <si>
    <t>№ 02-02/14 от 10.03.2017</t>
  </si>
  <si>
    <t>Беларусь, 225030, Брестская обл., Брестский р-он, д. Чернавчицы, ул. Сикорского 1/1, УНП 290507057, ОКПО 297495521000, р/c 3012359350011 в ЗАО Банк ВТБ (Беларусь), 220007, г. Минск, ул. Московская, д. 14, РД 500 (г. Брест, ул. Московская 208-1), код 153001108, +375-29-7900755</t>
  </si>
  <si>
    <t>___________________ А.С. Лось</t>
  </si>
  <si>
    <t>Xspedycja Polska Spółka z ograniczoną odpowiedzialnością spółka komandytowa</t>
  </si>
  <si>
    <t>№ 02-02/15 от 16.03.2017</t>
  </si>
  <si>
    <t>___________________ S.Korpal</t>
  </si>
  <si>
    <t>Polska, 85-807 Bydgoszcz, ul. Kapuściska 2/8, NIP PL5542941954, REGION 36584277, KRS 0000640865, info@xspedycja.pl</t>
  </si>
  <si>
    <t>№ 2023 от 14.04.2017</t>
  </si>
  <si>
    <t>Юр. адрес: 225750, Брестская обл., Пинский район, Оснежицкий с/с, северо-западнее д. Посеничи, почтовый адрес: 225750, РБ, Брестская обл., Пинский район, д. Галево, УНП 291047465, р/с 3012156820017 в ОАО "БПС-Сбербанк" региональная дирекция №100 по Брестской обл. дополнительный офис №103 г.Пинск (ул. Первомайская, д. 46), МФО 153001369, р/с 3012300069502 в ОАО "Белгазпромбанк" , ЦБУ №102 г. Пинск (ул. Советская, д. 20), МФО 153001742</t>
  </si>
  <si>
    <t>___________________ Г.А. Козорез</t>
  </si>
  <si>
    <t>№ 02-02/16 от 30.03.2017</t>
  </si>
  <si>
    <t>Частное предприятие "Тэйктранс"</t>
  </si>
  <si>
    <t>224016, г. Брест, ул. Орджоникидзе, д. 37 (почтовый 225303, г. Кобрин, а/я 4), р/с 3012359670010 в ЗАО Банк ВТБ (Беларусь) РД №500 г. Брест, БИК 153001108, УНП 290954947, ОКПО 298659041, тел. +375-29-8218977</t>
  </si>
  <si>
    <t>ОАО "Грузовой автомобильный парк №4" г. Барановичи</t>
  </si>
  <si>
    <t>225417, Брестская обл., ул. Тельмана, д. 100, р/с 3012512161015 в ОАО "Приорбанк" г. Минск БИК 153501749, УНП 200167522, ОКПО 05887261</t>
  </si>
  <si>
    <t>___________________ С.М. Амелин</t>
  </si>
  <si>
    <t>№ 29/03/2017/02 от 29.03.2017</t>
  </si>
  <si>
    <t>№ 1800/04/17 от 10.04.2017</t>
  </si>
  <si>
    <t>___________________ А.И. Шумейко</t>
  </si>
  <si>
    <t>ЧТСУП "РашАвтоТех"</t>
  </si>
  <si>
    <t>222603, Минская обл., г. Несвиж, ул. Несвижская, д. 10 (220073, г. Минск, ул. Скрыганова, д. 6, оф. 3320-3321), УНП 690501358, ОКПО 297016406, р/с 3012906320010 в ОАО "Белинвестбанк" отд. №536 код 739 (г. Минск, ул. Пушкина, д. 81)</t>
  </si>
  <si>
    <t>ООО «ТАТАТ»</t>
  </si>
  <si>
    <t>№ 114 от 12.04.2017</t>
  </si>
  <si>
    <t>___________________ И.А. Печинский</t>
  </si>
  <si>
    <t>220073 г. Минск, ул. Ольшевского, д. 24, оф. 425, УНН 101203788, ОКПО 37436597,  р/с 3012010710011 (EUR, USD, BYR, RUB) в ЗАО “МТБанк”, код 117 (г. Минск, пр-т Пар-тизанский, д.6а)</t>
  </si>
  <si>
    <t>ИП Слепухо Т.С.</t>
  </si>
  <si>
    <t>№ 02-02/18 от 11.05.2017</t>
  </si>
  <si>
    <t>№ 02-02/19 от 17.05.2017</t>
  </si>
  <si>
    <t>222520, г. Борисов, ул. Орджоникидзе, д. 51, кв. 45 (222512, Минская обл., г. Борисов, а/я 316), УНП 690684117, р/с 3013000013516 в ф-ле №612 ОАО "АСБ Беларусбанк" (г. Борисов, пр-т Революции, д. 47), МФО 153001810</t>
  </si>
  <si>
    <t>___________________ Т.С. Слепухо</t>
  </si>
  <si>
    <t>___________________ К.Е. Быстряков</t>
  </si>
  <si>
    <t>Быстряков Константин Евгеньевич</t>
  </si>
  <si>
    <t>Россия, 600910, Владимирская обл., г. Радужный, 3-й квартал, д. 26, кв. 32</t>
  </si>
  <si>
    <t>№ 02-02/20 от 30.05.2017</t>
  </si>
  <si>
    <t xml:space="preserve">   </t>
  </si>
  <si>
    <t>Жигалкин Василий Петрович</t>
  </si>
  <si>
    <t>___________________ В.П. Жигалкин</t>
  </si>
  <si>
    <t>Россия, 242600, Брянская обл., г. Дятьково, ул. Базарная, д. 13</t>
  </si>
  <si>
    <t>Частное предприятие  «ЗалинПлюс»</t>
  </si>
  <si>
    <t>230025, г. Гродно, ул. Мостовая, 40А (почтовый: 230008, г. Гродно, а/я 5), УНП 590 886 829, р/с 3012600005312 в ОАО «Белгазпромбанк» ЦБУ 404, код 742</t>
  </si>
  <si>
    <t>б/н от 02.06.2017</t>
  </si>
  <si>
    <t>___________________ А.В. Змеёв</t>
  </si>
  <si>
    <t>ИП Леонов Алексей Борисович</t>
  </si>
  <si>
    <t>ИП Леонов А. Б.</t>
  </si>
  <si>
    <t>___________________ А.Б. Леонов</t>
  </si>
  <si>
    <t>№ 02-02/22 от 09.06.2017</t>
  </si>
  <si>
    <t>0913-024</t>
  </si>
  <si>
    <t>224002, г. Брест, ул. Суворова, 71-75, УНП 291455772, р/с 3013300038620 в ОАО «Белгазпромбанк» (ул. Притыцкого, 60/2, 220121, г. Минск, УНП 100429079), МФО 153001742, SWIFT: OLMPBY2X</t>
  </si>
  <si>
    <t>225003, Республика Беларусь, Брестская область, Брестский р-н, д.Тельмы-2, ул. Промышленная, д. 4</t>
  </si>
  <si>
    <t>р/с в BYN № BY81SLAN30121643300530000000, в USD № BY29SLAN30121643350290100000, 
в Евро № BY34SLAN30121643350290000000, в RUB № BY24SLAN30121643350290200000, БИК SLANBY22, 
банк - ЗАО «Банк ВТБ (Беларусь)» РД № 500 в г. Брест (224016 г. Брест, ул. Московская, 208-1), МФО 153001108</t>
  </si>
  <si>
    <t>Ответственный за
использование транспорта</t>
  </si>
  <si>
    <r>
      <t xml:space="preserve">СООО "КамелиТурКомпани"
225003, Беларусь, Брестская обл., Брестский р-н, д.Тельмы-2, ул. Промышленная, д. 4
</t>
    </r>
    <r>
      <rPr>
        <sz val="9"/>
        <color theme="1"/>
        <rFont val="Arial Unicode MS"/>
        <family val="2"/>
        <charset val="204"/>
      </rPr>
      <t>р/с в BYN № BY81SLAN30121643300530000000, в USD № BY29SLAN30121643350290100000, 
в Евро № BY34SLAN30121643350290000000, в RUB № BY24SLAN30121643350290200000, БИК SLANBY22, 
банк - ЗАО «Банк ВТБ (Беларусь)» РД № 500 в г. Брест (224016 г. Брест, ул. Московская, 208-1), МФО 153001108</t>
    </r>
  </si>
  <si>
    <t>ЧТУП «ЕвРосТранс»</t>
  </si>
  <si>
    <t>213114, Могилевская обл., Могилевский р-он, а.г. Мосток, ул. Центральная, д. 3, каб. 1 (212026, г. Могилев, ул. Орловского, д. 17А), УНП 790875611, р/с  3012119550017 (BYN, EUR, USD) в ОАО «Банк Москва-Минск», (г. Минск, адрес банка г. Могилев, ул. Пионерская 37А), МФО 153001272</t>
  </si>
  <si>
    <t>№ _______ от 26.06.2017</t>
  </si>
  <si>
    <t>___________________ И.А. Евдокимов</t>
  </si>
  <si>
    <t xml:space="preserve">ООО «СаМоТранс» </t>
  </si>
  <si>
    <t>225034, Брестская обл., Брестский р-он,  д. Остромечево, пл. Октябрьская, д. 2 (224029, г. Брест-29, до востребования), УНП 290481591, ОКПО 293904531000, Банковские реквизиты: ОАО «Белагропромбанк»(BYN) : р/сч 3012491440010 (бел руб) филиал ОАО «Белагропромбанк» Брестское областное управление г.Брест (Адрес банка: г.Брест, ул.Воровского,11), МФО 150501401 и ЗАО «АльфаБанк»(валюта) р/сч 3012210903015 (бел руб), в/сч 3012210903003 (EURO), в/сч 3012210903001 (RUB), в/сч 3012210903002 (USD) в ЗАО "АЛЬФА-БАНК" г. Минск (г.Брест, ул.Советская,56), МФО 153001270, S.W.I.F.T. ALFABY2X</t>
  </si>
  <si>
    <t>№ 1 от 19 июня 2017 г.</t>
  </si>
  <si>
    <t>___________________ А.Н. Мотузко</t>
  </si>
  <si>
    <t>ИООО «БРВ-Брест»</t>
  </si>
  <si>
    <t xml:space="preserve">224025, г. Брест, ул. Л-та Рябцева, д. 128, УНП 809000142, ОКПО 29119650, р/с BY37PJCB30125013551000000933 (BYN) в «Приорбанк» ОАОЦБУ 500 (224013, г.Брест, бул. Шевченко, 6/1), БИК/BIC PJCBBY2X
</t>
  </si>
  <si>
    <t>___________________ С.Н. Рудь</t>
  </si>
  <si>
    <t>№28/06/2017 от 28 июня 2017 г.</t>
  </si>
  <si>
    <t>ИП Ястреб Наталия Францевна</t>
  </si>
  <si>
    <t xml:space="preserve">223012, Минская обл., Минский р-н, г.п. Мачулищи,  ул. Молодежная, 14-1, УНП 691405327, р/с BY20MTBK30130001093300034375 в ЗАО «МТБанк» (г. Минск, Партизанский проспект, 6А), код MTBKBY22, +375-29-6871337, +375-33-3209819, факс: +375-17-5044275 
</t>
  </si>
  <si>
    <t>№ 537-п от 06 июля 2017 г.</t>
  </si>
  <si>
    <t>ИП Ястреб Н. Ф.</t>
  </si>
  <si>
    <t>___________________ Н.Ф. Ястреб</t>
  </si>
  <si>
    <t>041 от 05.07.2017</t>
  </si>
  <si>
    <t>___ № _________</t>
  </si>
  <si>
    <t>05.07.2017 N 544Ю</t>
  </si>
  <si>
    <t>г. Брест, Беларусь - г. Бобруйск, Могилевская обл., Беларусь</t>
  </si>
  <si>
    <t>(тел.: +375-29-6665003)</t>
  </si>
  <si>
    <r>
      <t xml:space="preserve">ул. Гоголя, д. 188В, 
</t>
    </r>
    <r>
      <rPr>
        <b/>
        <sz val="16"/>
        <color theme="1"/>
        <rFont val="Arial"/>
        <family val="2"/>
        <charset val="204"/>
      </rPr>
      <t xml:space="preserve">213810, </t>
    </r>
    <r>
      <rPr>
        <sz val="16"/>
        <color theme="1"/>
        <rFont val="Arial"/>
        <family val="2"/>
        <charset val="204"/>
      </rPr>
      <t xml:space="preserve">Могилевская обл., 
</t>
    </r>
    <r>
      <rPr>
        <b/>
        <sz val="16"/>
        <color theme="1"/>
        <rFont val="Arial"/>
        <family val="2"/>
        <charset val="204"/>
      </rPr>
      <t>г. Бобруйск</t>
    </r>
    <r>
      <rPr>
        <sz val="16"/>
        <color theme="1"/>
        <rFont val="Arial"/>
        <family val="2"/>
        <charset val="204"/>
      </rPr>
      <t>, Беларусь</t>
    </r>
  </si>
  <si>
    <t>213810, Могилевская обл., г. Бобруйск, ул. Гоголя, д. 188В, УНН 790912658, р/с (BYN) BY65 AKBB 3012 1319 9001 1710 0000 в в ф-ле № 703 ОАО "АСБ Беларусбанк" (г.Бобруйск, ул.Горького,2), БИК AKBBBY21703</t>
  </si>
  <si>
    <t xml:space="preserve">220021, г. Минск, ул. Днепровская, 106-3, УНП 192675076, р/с (BYN) BY50 BPSB 3013 1787 8001 7933 0000 в ЦБУ № 704 ОАО «БПС-Сбербанк» (г. Минск, ул. Уральская, д. 1А), МФО 153001369, БИК BPSBBY2X 
</t>
  </si>
  <si>
    <t>ООО «ЛАСАВ-Логистикс»</t>
  </si>
  <si>
    <t>ИП Сацук М.И.</t>
  </si>
  <si>
    <t>ИП Сацук Мария Ивановна</t>
  </si>
  <si>
    <t>224022, г. Брест, ул.28 июля, 3A-18,  УНП 290392553,  р/с BYN  BY32BELB 3013 1512 4600 2022 6000, БИК BELBBY2X</t>
  </si>
  <si>
    <t>___________________ М.И. Сацук</t>
  </si>
  <si>
    <t>№ 13 от 25.07.2017</t>
  </si>
  <si>
    <t>224008, г. Брест, ул. Житомирская, 2/2, УНП 200261943, счет в BYN BY44OLMP 3013 3000 0000 7000 0933, БИК OLMPBY2X, банк -ОАО "Белгазпромбанк" Брестская областная дирекция (адрес банка: 224032, г. Брест, ул. Сов. Конституции, 15), МФО 153001742</t>
  </si>
  <si>
    <t>ИП Рак Иван Иванович</t>
  </si>
  <si>
    <t>220019, г. Минск, ул. Янковского, 4 – 164, УНП 191718547, р/с в BYN BY08BLBB30130191718547001001, БИК BLBBY 2X, банк ОАО «Белинвестбанк», отд. № 536 (г. Минск, пр. Пушкина 81), МФО 153001739</t>
  </si>
  <si>
    <t>ИП Рак И.И.</t>
  </si>
  <si>
    <t>___________________ И.И. Рак</t>
  </si>
  <si>
    <t>ОДО "Металлургическая компания Промстройметалл"</t>
  </si>
  <si>
    <t>220000, г. Минск, ул.Смоленская, 25-6, УНП 100128262</t>
  </si>
  <si>
    <t xml:space="preserve">220116, г. Минск, ул. Голубева, 3-106 (220024, ул. Асаналиева, 27-11), УНН 190670067, ОКПО 3767907, р/с BY44OLMP30120000275410000933, БИК OLMPBY2X, банк ОАО «БЕЛГАЗПРОМБАНК» (г. Минск, ул. Притыцкого, 60/2), код 742
</t>
  </si>
  <si>
    <t>№ 04/08-17 от 04.08.2017</t>
  </si>
  <si>
    <t xml:space="preserve">___________________ В.М. Бахарь </t>
  </si>
  <si>
    <t>ЧУП «Интербелперевозка»</t>
  </si>
  <si>
    <t>ЧТУП «Флаер-Транс»</t>
  </si>
  <si>
    <t>213808 Могилевская обл., г.Бобруйск, ул. Западная, д. 19, каб. 40-41, УНН 790917463, р/с BY48BPSB30123005170179330000 , БИК
BPSBBY2X, банк -  Дополнительный офис №601 Бобруйск ОАО «БПС-Сбербанк» (ул. Пушкина, 172)</t>
  </si>
  <si>
    <t>№77от 08.08.2017</t>
  </si>
  <si>
    <t>___________________ Е.В. Пахомова</t>
  </si>
  <si>
    <t>DAVLogistic SRL</t>
  </si>
  <si>
    <t>Республика Молдова, MD-2044, мун. Кишинэу, ул. Вадул луй Водэ, 72-62 (Кишинев, бд. Дачия, 49/6-333), ф/к: 1016600024064, IBAN: MD94 PR00 2251 1819 3400 1498 в банке ProCreditBank, SWIFT: PRCBMD22, +37369497036, davxlogistic@gmail.com</t>
  </si>
  <si>
    <t>№ 100 от 27.09.2017</t>
  </si>
  <si>
    <t>___________________ ______________</t>
  </si>
  <si>
    <t xml:space="preserve">ИП 
Дубинская Инга Зурабовна
</t>
  </si>
  <si>
    <t xml:space="preserve">220086, г. Минск, ул. Калиновского,14-73 (г. Минск, 220086, а/я 65), УНП 191030197, р/с BY58BPSB30131072360119330000 (BYN), БИК BPSBBY2X в банке ОАО «БПС- Сбербанк» (г. Минск, ул. Сурганова, 39), e-mail: khlus@rambler.ru, тел: +375 17 2118152, факс-2680243, моб. +375 291327917
</t>
  </si>
  <si>
    <t>№ 02/02-45 от 25.09.2017</t>
  </si>
  <si>
    <t>ИП Дубинская И.З.</t>
  </si>
  <si>
    <t>___________________ И.З. Дубинская</t>
  </si>
  <si>
    <t>ИП Абасов Алибала Шахбала Оглы</t>
  </si>
  <si>
    <t>211440, Витебская обл., г. Новополоцк, ул. Молодёжная, 145-285 (211440, г. Новополоцк, ул. Молодежная, 148А), УНП 390113336, Свидетельство № 390113336 выдано решением Новополоцкого ГИК № 654 от 27.06.2001, р/с BY42AKBB30130593700142100000 , BIC AKBBBY21214  (ф-ал № 214 АСБ Беларусбанк в г. Новополоцке).</t>
  </si>
  <si>
    <t>№ 02/02-46 от 09.10.2017</t>
  </si>
  <si>
    <t>ИП Абасов А.Ш.О</t>
  </si>
  <si>
    <t>___________________ А.Ш.О. Абасов</t>
  </si>
  <si>
    <t>ОДО «Металлан»</t>
  </si>
  <si>
    <t>№ 02/02-49 от 16.10.2017</t>
  </si>
  <si>
    <t>224024, г. Брест, ул. Красногвардейская, 112 (224024, г. Брест, ул. Шоссейная, 2А), УНП 290040805, ОКПО 29106529, р/с BY44ALFA30122108610010270000, БИК ALFABY2X, банк - ЗАО «Альфа-Банк» (г. Брест, ул. Советская, 56)</t>
  </si>
  <si>
    <t>___________________ Н.С. Дмитрук</t>
  </si>
  <si>
    <t>344114, Россия, г. Ростов-на-Дону, ул. Орбитальная, 68/5-64, паспорт № 60 12 342561 межрайонным отд. УФМС Росии по Ростовской обл. в Усть-Донецкиком р/п 19.09.2013</t>
  </si>
  <si>
    <t>№ 02/02-50 от 12.10.2017</t>
  </si>
  <si>
    <t>ООО «Центросбыт»</t>
  </si>
  <si>
    <t xml:space="preserve">230029, г. Гродно, ул. Горького, д. 72, УНП 59100136, ОКПО 3003806940, p/с BYN: BY71 TECN 3012 4065 5001 2000 0000, БИК TECNBY22, банк - OAO “Texнобанк” </t>
  </si>
  <si>
    <t>№ 02/02-57 от 30.10.2017</t>
  </si>
  <si>
    <t>___________________ В.И. Булавчик</t>
  </si>
  <si>
    <t>Пириев Аслан Джумжуд Оглы</t>
  </si>
  <si>
    <t>___________________ Пириев А.Д.О.</t>
  </si>
  <si>
    <t>ООО «ХайВэй логистик»</t>
  </si>
  <si>
    <t>№ 17/588 от 13.10.2017</t>
  </si>
  <si>
    <t>___________________ А.И. Ладутько</t>
  </si>
  <si>
    <t xml:space="preserve">211440, Витебская обл., г. Новополоцк, ул. Комсомольская д. 3, кв. 50 (почтовый адрес: ул. Надежды, д. 8, 211501, г. Новополоцк), УНП 300242610, р/с BY96 AKBB 3013 0149 4001 4210 0000, БИК AKBBBY21214, банк ОАО «АСБ Беларусбанк» филиал 214 (г. Новополоцк,  ул. Дружбы, 4), МФО 150801660 </t>
  </si>
  <si>
    <r>
      <t xml:space="preserve">р/с в BYN № </t>
    </r>
    <r>
      <rPr>
        <b/>
        <sz val="8"/>
        <color theme="1"/>
        <rFont val="Times New Roman"/>
        <family val="1"/>
        <charset val="204"/>
      </rPr>
      <t>BY81 SLAN 3012 1643 3005 3000 0000</t>
    </r>
    <r>
      <rPr>
        <sz val="8"/>
        <color theme="1"/>
        <rFont val="Times New Roman"/>
        <family val="1"/>
        <charset val="204"/>
      </rPr>
      <t>, в USD № BY29SLAN30121643350290100000, 
в Евро № BY34SLAN30121643350290000000, в RUB № BY24SLAN30121643350290200000, БИК SLANBY22, 
банк - ЗАО «Банк ВТБ (Беларусь)» РД № 500 в г. Брест (224016 г. Брест, ул. Московская, 208-1), МФО 153001108</t>
    </r>
  </si>
  <si>
    <t>220007, г. Минск, ул. Володько 18, каб. 107А, УНП 192 209 235, ОКПО 381570695, р/с BY11 UNBS 3012 0002 4200 7001 3933, БИК UNBSBY2X, банк - РКЦ №13 ЗАО «БелСвиссБанк» (г. Минск, пр-т Дзержинского, д, 80), МФО 175</t>
  </si>
  <si>
    <t>ООО "Лентрак"</t>
  </si>
  <si>
    <t>211502, Витебская обл., Новополоцкий р-он, Боровухский с/с, д. 18 (в 1,5 км от д. Куликово), ком. 2, УНП 390536009, р/с BY43 BPSB 3012 1243 7701 3933 0000, БИК BPSBBY2X, банк - ЦБУ N202 ОАО "БПС-Сбербанк" (г. Новополцк, ул. Олимпийская, д. 11)</t>
  </si>
  <si>
    <t>№ 02/02-65 от 08.11.2017</t>
  </si>
  <si>
    <t>___________________ С.Л. Когут</t>
  </si>
  <si>
    <t>№ 02/02-67 от 23.11.2017</t>
  </si>
  <si>
    <t>ЧУП «Белавтосплав»</t>
  </si>
  <si>
    <t>220030, г. Минск, ул. Зыбицкая, д. 9, оф. 44, УНП 190504169, ОКПО 37629721, р/с BY60 BELB 3012 0067 7600 6022 6000, БИК BELBBY2Х, банк - ОАО «Банк БелВЭБ» (220004, г. Минск, пр-т Победителей, 29, УНП 100010078), МФО 153001226, тел./факс +375-17-3063047, 3064005, 2034700, 3275432 (бухг.), e-mail: belavto@mail.ru</t>
  </si>
  <si>
    <t>___________________ Д.И. Цыркунов</t>
  </si>
  <si>
    <t>№ 02/02-68 от 27.11.2017</t>
  </si>
  <si>
    <t>ООО "ПрофМеталлМаркет"</t>
  </si>
  <si>
    <t>___________________ А.Н. Близник</t>
  </si>
  <si>
    <t xml:space="preserve">222750, Минская обл., Дзержинский р-н, г. Фаниполь, ул. Заводская, д. 33, оф. 2 (220006, г. Минск, ул. Бельского, д. 15, оф. 137), УНН 690665704, ОКПО 500344646000, р/с BY93 MMBN 3012 0689 5001 0000 0000, БИК MMBNBY22, банк - ОАО "Банк Москва-Минск", +375-17-3635354,  2566730, eilat@telecom.by, </t>
  </si>
  <si>
    <t>Договор N215 от 10.04.2013</t>
  </si>
  <si>
    <t>Greenagrotrade J.Ufnarski</t>
  </si>
  <si>
    <t xml:space="preserve">Polska, 05-119 Legionowo, ul. Gen. Bolesława Roi 14 lok. 32, NIP 524-01-07-846, REGON 012131520, bank - DEUTSCHE BANIK PBC S.A (Warszawa 26, Al. Armii ludowej), Nr rach EUR 02 1910 1048 2644 0001 0090 0002, SWIFT : DEUTPLPKXXX
</t>
  </si>
  <si>
    <t>№ 02/02-71 от 01.12.2017</t>
  </si>
  <si>
    <t>___________________ J. Ufnarski</t>
  </si>
  <si>
    <t>Джафаров Ширин Ханоглан оглы</t>
  </si>
  <si>
    <t xml:space="preserve">Россия, 344045, Южный федеральный округ, Ростов-на-Дону, ул. Равнинная, д. 113А, паспорт № 60 14 633319 выдан отделом УФМС России 610-014 в Первомайском районе г. Ростова-на-Дону 02.09.2014
</t>
  </si>
  <si>
    <t>№ 02/02-69 от 28.11.2017</t>
  </si>
  <si>
    <t>___________________ Джафаров Ш.Х.О.</t>
  </si>
  <si>
    <t>ИП Государский Алексей Александрович</t>
  </si>
  <si>
    <t>№ 02/02-73 от 05.12.2017</t>
  </si>
  <si>
    <t>ИП Государский А.А.</t>
  </si>
  <si>
    <t>___________________ А.А.Государский</t>
  </si>
  <si>
    <t>220136, г. Минск, ул. Мазурова, д. 16, оф. 64 (220006, г. Минск, ул. Денисовская, д. 9, оф. 85), УНП 192783027, р/с BY25 UNBS 3013 1350 9300 3000 1933 (бел. Руб.) в ЗАО «БСБ Банк» Отд. №1 (220030, г. Минск, пл. Свободы, 4), БИК UNBSBY2X</t>
  </si>
  <si>
    <t>ООО «АЛС-Транзит»</t>
  </si>
  <si>
    <t xml:space="preserve">220020, г. Минск, пр-т Победителей, 103, пом. 6 на 9 этаже, УНП 192774828, р/с BY16 MTBK 3012 0001 0933 0007 7189 (BYN), BY02MTBK30120001097800077191 (EUR), BY49MTBK30120001064300077193 (RUB), BY30MTBK30120001084000077195 (USD), БИK MTBKBY22, банк - ЗАО «МТБанк» (220123, г. Минск, пр-т Машерова, 54), тел./факс +375(17)308-79-86, e-mail: info@alstransit.by
</t>
  </si>
  <si>
    <t>№ TR-1217/342 от 04.12.2017</t>
  </si>
  <si>
    <t>___________________ Т.И. Родюкова</t>
  </si>
  <si>
    <t>Частное предприятие "Корза-карго"</t>
  </si>
  <si>
    <t>225406, Брестская обл., г. Барановичи, ул. Брестская, д. 226/1, каб. 14, УНП 291048977, ОКПО 300238581000, р/с BY11 OLMP 3012 3000 6992 2000 0933, БИК OLMPBY2X, банк - ОАО "Белгазпромбанк" Брестская обл. дирекция, МФО 153001742</t>
  </si>
  <si>
    <t>___________________ Д.Б. Корза</t>
  </si>
  <si>
    <t>№ 162-17-П от 25.12.2017</t>
  </si>
  <si>
    <t>ИП Казимирская Л.В.</t>
  </si>
  <si>
    <t>___________________ Л.В. Казимирская</t>
  </si>
  <si>
    <t>ИП Казимирская Лидия Викентьевна</t>
  </si>
  <si>
    <t>230011, г. Гродно, ул. Мира, 5-46, УНП 591163641, р/с BY09 BLBB 3013 0591 1636 4100 1001, БИК BLBBBY2X, в Дирекции ОАО «Белинвестбанк» (г. Гродно, ул. Мицкевича, 3), код 739, тел. +375297660409, stex@tut.by</t>
  </si>
  <si>
    <t>ООО "Авангард Трэйдинг"</t>
  </si>
  <si>
    <t>224028, г. Брест, ул. Янки Купалы, д. 110, , тел: +375-33-3144687,  +375-162-405030</t>
  </si>
  <si>
    <t>___________________ И.А. Лисюк</t>
  </si>
  <si>
    <t>№ 02/02-80 от 26.12.2017</t>
  </si>
  <si>
    <t>№ 74 от 21.12.2017</t>
  </si>
  <si>
    <t xml:space="preserve">224024, г. Брест, ул. Чернянская, д. 8/2, </t>
  </si>
  <si>
    <t>исх. от 22.11.2018
№ 02-02/60</t>
  </si>
  <si>
    <t>(тел.: +375-29-7006100, факс: +375-162-456887)</t>
  </si>
  <si>
    <t>Вручено "_____" ______________ 2018 г. _____________________________</t>
  </si>
  <si>
    <t>POLSAD DYSTRYBUCJA SP.Z O.O.</t>
  </si>
  <si>
    <t xml:space="preserve">Poland, 05-622, Belsk Duży, Lewiczyn 2A, NIP 797-205-10-98, REGON 146471775,  Raiffeisen Bank Polska S.A conto EUR - PL44 1750 1253 0000 0000 2225 8656, USD – PL66 1750 1253 0000 0000 2225 8648, SWIFT RCBWPLPW,  +48486611369, +48486611772
</t>
  </si>
  <si>
    <t>№ 02/02-81 от 29.12.2017</t>
  </si>
  <si>
    <t>Direktor</t>
  </si>
  <si>
    <t>___________________ Pawel Puncewicz</t>
  </si>
  <si>
    <t>ООО «Буг-Маркет»</t>
  </si>
  <si>
    <t>224002, г. Брест, ул. Воинов-интернационалистов, д. 33, УНП 290337738, ОКПО 29211255, р/с BY15 PJCB 3012 5008 8610 0000 0933, БИК PJCBBY2X, банк - ОАО «Приорбанк»
ЦБУ 500 (г. Брест, б-р Шевченко, 6-1), тел. +375-162-558-558, 558-000, 530309</t>
  </si>
  <si>
    <t>ИП Теребилова Татьяна Сергеевна</t>
  </si>
  <si>
    <t>225409, Брестская обл., г. Барановичи, ул. Комсомольская, д. 23А, оф. 6 (225409, г. Барановичи, Брестская обл., а/я 39), УНП 290602367, р/с в бел.руб. № BY51 PJCB 3013 5123 1210 1000 0933, БИК PJCBBY2X, банк - ОАО  «ПРИОРБАНК» ЦБУ 505 (г. Барановичи, ул. Ленина, 7), тел. +37525-5123625, +37529-5541474</t>
  </si>
  <si>
    <t>№82 от 04.01.2018</t>
  </si>
  <si>
    <t>ИП Теребилова Т.С.</t>
  </si>
  <si>
    <t>___________________ Т.С. Теребилова</t>
  </si>
  <si>
    <t>ООО "ПрофитВК"</t>
  </si>
  <si>
    <t>220125, г. Минск, ул. Уручская, д. 23А, оф. 305, УНН 690564848, ОКПО 296310236000, р/с BYN № BY29 PJCB 3012 0138 3010 0000 0933, БИК PJCBBY2X, банк - ОАО "Приорбанк" ЦБУ №117 г. Минск, МФО 153001749, +375-29-1502200</t>
  </si>
  <si>
    <t>___________________ Д.М. Коляго</t>
  </si>
  <si>
    <t>ООО «БЕЛКОМПАНИ»</t>
  </si>
  <si>
    <t>Россия, 115093,  г. Москва, ул.  Б.Серпуховская, дом 44, пом. 1, ком. 19 (почтовый адрес: Беларусь, 220020, г. Минск,  Проспект Победителей , д.18, к. 2, оф. 224), ИНН 9705071494, КПП 770501001, ОГРН 1167746671311, р/с RUB № 4070 2810 2000 0002 3174, банк - АО "РАЙФФАЙЗЕНБАНК" Г. МОСКВА, БИК 044525700, корр. счет № 3010 1810 2000 0000 0700, тел. РФ +79854155658, тел РБ +375296556874, e-mail: kem07@mail.ru</t>
  </si>
  <si>
    <t>№ 08/01/18-2 от 08.01.2018</t>
  </si>
  <si>
    <t>___________________ Е.М. Клюев</t>
  </si>
  <si>
    <t>б/н от 08.01.2018</t>
  </si>
  <si>
    <t>___________________ В.Г. Петров</t>
  </si>
  <si>
    <t>ОАО «Элема»</t>
  </si>
  <si>
    <t>220033, г. Минск, ул. Тростенецкая, д. 5, УНП 100074549, ОКПО 05543053, р/с IBAN (BYN) BY55 BLBB 3012 0100 0745 4900 1001, БИК BLBBBY2X, банк-ЦБУ № 535 г. Минска ОАО «Белинвестбанк», МФО 153001739, факс +375 17 223 65 71, ОМТС +375 17 349 02 38, e-mail s.shamko@elema.by</t>
  </si>
  <si>
    <t>№ 02/04-801 от 10.01.2018</t>
  </si>
  <si>
    <t>Первый зам. директора</t>
  </si>
  <si>
    <t>___________________ А.Е. Венедиктов</t>
  </si>
  <si>
    <t>Частное предприятие «Кунцевич-Транс»</t>
  </si>
  <si>
    <t>223012, Минский р-н, г.п. Мачулищи, ул. Молодёжная, 7-61 (почтовый адрес: 220035, г. Минск, ул. Тимирязева, д. 67, каб. 322, УНП 691574252, ОКПО 302055386000, р/с BY94PJCB30120291441000000933 , в/с BY52PJCB30120291441010000643, БИК PJCBBY2X, банк - ОАО «Приорбанк»  (г. Минск), код 749, e-mail: kuntsevich-trans@mail.ru, тел.: +375 44 7349794</t>
  </si>
  <si>
    <t>№ ПА / 17-01В от 17.01.2018</t>
  </si>
  <si>
    <t>___________________ А.И. Кунцевич</t>
  </si>
  <si>
    <t>СООО «Хеллманн Восточная Европа»</t>
  </si>
  <si>
    <t>220073, Минск, ул. Ольшевского, д. 22, пом. 23, УНН 191058268, ОКПО 37821186500, р/с BYN: BY07 PJCB 3012 0132 6410 0000 0933, RUB: BY62PJCB30120132641010000643, EUR: BY08PJCB30120132641030000978, USD: BY63PJCB30120132641020000840, БИК PJCBBY2X, банк - ОАО «Приорбанк» ЦБУ 117 (г. Минск, пр. Независимости, д. 168/2), тел: +375 17 290 85 65 ext. 125, fax +375 17 202 59 93, mobile +375 29 110 33 61, e-mail: iemelyan@by.hellmann.net</t>
  </si>
  <si>
    <t>№ PR0956 от 17.01.2018</t>
  </si>
  <si>
    <t>Заместитель директора</t>
  </si>
  <si>
    <t>___________________ А.А. Карнейчик</t>
  </si>
  <si>
    <t>Частное сервисное унитарное предприятие «АВВАинтер»</t>
  </si>
  <si>
    <t xml:space="preserve">230005, г. Гродно, ул. Горького, д. 91, каб. 512, УНП 591008264, р/счет BY47 AKBB 3012 0000 3297 5400 0000 ( BYN), BY46 AKBB 3012 0000 3298 8400 0000 (EUR), BY98 AKBB 3012 0000 3299 1400 0000 (USD), BY97 AKBB 3012 0000 3300 4400 0000 (RUB), БИК АКBBBY21400, банк - ГОУ ОАО «АСБ Беларусбанк» филиал 400, тел./факс  +375152 605074, велком +375-44-7989588 (89) МТС +375-33-6232469, эл. почта avvainter@mail.ru </t>
  </si>
  <si>
    <t>№ 3075 от 12.01.2018</t>
  </si>
  <si>
    <t>___________________ В.А. Кашко</t>
  </si>
  <si>
    <t>ИП Дятловская Светлана Петровна</t>
  </si>
  <si>
    <t>213811, Могилевская обл., г. Бобруйск, ул. Рокоссовского, 50-114 (213825, г. Бобруйск, ул. Горелика, 60-16), УНП 790891556, р/с BYN BY66 ALFA 3013 2561 2000 8027 0000, БИК код ALFABY2X, банк - отд. ЗАО«Альфа-Банк» (г. Минск, ул. Сурганова, 43-47), р/с в RUB № BY74 ALFA 3013 2561 2000 1027 0000 (RUB), счет  № 30111810100000000221 в ОАО «Альфа-Банк», Москва, РФ БИК — 044525593, К/счет №30101810200000000593, ИНН 7728168971</t>
  </si>
  <si>
    <t>б/н от 01.02.2018</t>
  </si>
  <si>
    <t>ИП Дятловская С.П.</t>
  </si>
  <si>
    <t>___________________ С.П. Дятловская</t>
  </si>
  <si>
    <t>ИП Самусик Евгений Александрович</t>
  </si>
  <si>
    <t>224022, г. Брест, ул.Суворова , д. 74, , УНН 290724422, р/с BYN BY36 PJCB 3013 5016 5510 0000 0933, БИК PJCBBY2X,  банк - ОАО "Приорбанк" ЦБУ 500 г. Брест, МФО 153001749</t>
  </si>
  <si>
    <t xml:space="preserve"> УНП 291126593, мобил: +375-29-7006100, факс: +375-162-456887, e-mail: cameli.turcompany@ya.ru</t>
  </si>
  <si>
    <t>ИП Лось Анна Станиславовна</t>
  </si>
  <si>
    <t>224003, г. Брест, ул. Махновича, 34Б-36 (224007, г. Брест, ул. Московская, д. 311, оф. 115), УНП 291407337, р/сч  BY28 MMBN 3013 5127 1001 0000 0000 (BYN), BY98MMBN30135127120100000000 (EURO), BY36MMBN30135127130100000000 (RUR), БИК MMBNBY22, банк - ОАО «Банк Москва-Минск» (224030, г. Брест, ул. Коммунистическая, д. 24, +375-29-8202066</t>
  </si>
  <si>
    <t>№ 6 от 10.03.2017</t>
  </si>
  <si>
    <t>ТООО «Контур»</t>
  </si>
  <si>
    <t>230003, г. Гродно, ул.Карского, д. 10 (230028, г. Гродно, ул. Лагодная, д. 14), УНП 500467199, р/с  BY71 ALFA 3012 2701 0000 5027 0000, БИК  ALFABY2X, банк - ЗАО «Альфа-Банк» (г. Гродно, ул. К.Маркса, д. 44), тел./факс 8-0152-947-027, тел. +37529-6522970, +37529-8876475</t>
  </si>
  <si>
    <t>№ 02/04-802 от 19.02.2018</t>
  </si>
  <si>
    <t>___________________ Д.А. Илюкович</t>
  </si>
  <si>
    <t>224013, г. Брест, ул. МОПРа, д. 5/2, УНП 290444710, ОКПО 29268717, р/с BYN  BY10 PJCB 3012 5031 0310 0000 0933, EUR  BY10 PJCB 3012 5031 0310 3000 0978, БИК PJCBBY2X, банк - ОАО "Приорбанк" ЦБУ 500 г. Брест (бул. Шевченко, 6/1, Брест), МФО 153001749</t>
  </si>
  <si>
    <t>№ 158/17 от 06.12.2017</t>
  </si>
  <si>
    <t>________________ А.В. Суздалева</t>
  </si>
  <si>
    <t>ООО «ЭкоПромПанель»</t>
  </si>
  <si>
    <t>223130, Минская обл., Логойский р-н., п. Плещеницы, м-рн. «Военный городок», пом. № 152, комн. 1-2 (220021, г. Минск, ул. Мичурина, д. 3, офис 511), УНП 690839787, ОКПО 29701155, р/с BY53 PJCB 3012 0162 6410 0000 0933, БИК PJCBBY2X, банк - «ПРИОРБАНК» ОАО ЦБУ 100 (г. Минск, ул. Радиальная, д. 38А), тел. /факс  +375(017) 345-76-40, 345-76-50, +375296512068</t>
  </si>
  <si>
    <t>б/н от 14.03.2018</t>
  </si>
  <si>
    <t>Инженер по организации перевозок</t>
  </si>
  <si>
    <t>___________________ К.А. Чебоненко</t>
  </si>
  <si>
    <t>ООО «ЭкспрессОснова»</t>
  </si>
  <si>
    <t>213004, Могилевская обл., г. Шклов, ул. Фабричная, д. 26/5, УНП 791035130, ОКПО 501033667000, р/с BY29 AKBB 3012 0973 2419 9700 0000, БИК AKBBBY21700, банк - ОАО "Беларусбанк" (г. Шклов, ул. Ленинская, д. 57), +375223974200, +375447343928</t>
  </si>
  <si>
    <t>___________________ А.В. Гузов</t>
  </si>
  <si>
    <t>ИП Мироненко Галина Михайловна</t>
  </si>
  <si>
    <t>231041, Гродненская обл., г. Сморгонь, ул. Комсомольская, 34 (231041, г. Сморгонь, ул. Тракторная, 26-5), свидетельство № 590975670 выд.24.01.2012г. Сморгонским РИК, УНН 590975670, р/с BY33 AKBB 3013 0876 2001 6420 0000, БИК АКВВВY21413, банк - филиал № 413 ОАО «АСБ Беларусбанк» (г. Лида, ул. Советская, 10), тел./факс +375 1592 37408, e-mail: ms2301@rambler.ru, +37529-3832605, +37529-6860767</t>
  </si>
  <si>
    <t>№ 0315-п от 15.03.2018</t>
  </si>
  <si>
    <t>ИП Мироненко Г.М.</t>
  </si>
  <si>
    <t>___________________ Г.М. Мироненко</t>
  </si>
  <si>
    <t>GO LOGIS Szenejko spółka jawna</t>
  </si>
  <si>
    <t>Polska, 21-500 Biała Podlaska, Ziemowita 4/20 (21-500 Biała Podlaska, Janowska 66), NIP PL5372601282, REGON 060705509, KRS 0000371847, BANK : PKO BP S.A. (ul. Puławska 15, Warszawa, Polska), SWIFT BPKOPLPW, EUR : PL18 1020 1260 0000 0502 0100 4456, BANKI KORESPONDENCYJNE - EURO : BANK TARGET2, SWIFT BPKOPLPW, EUR : PL66101000391020000310011000, tel: +48-83-3432822, fax +48-83-4102231, e-mail: info@gologis.pl</t>
  </si>
  <si>
    <t>N 13/03RU/2018 от 13.03.2018</t>
  </si>
  <si>
    <t>Dyrektor</t>
  </si>
  <si>
    <t>___________________ G. Szenejko</t>
  </si>
  <si>
    <t>ООО "КанесисГрупп"</t>
  </si>
  <si>
    <t>224024, г. Брест, ул. Инженерная, д. 19/1, УНП 291431865, р/с BY97 SLAN 3012 2802 7000 0010 0000, БИК SLANBY22, банк - ЗАО "Банк ВТБ" (Беларусь) РД № 500 (г. Брест, ул. Московская, 208-1), +375-29-500226, +375-44-5882474, y.kozlovskaya@kanesis.by</t>
  </si>
  <si>
    <t>№ 02/04-803 от 15.03.2018</t>
  </si>
  <si>
    <t>___________________ Д.И. Грецкий</t>
  </si>
  <si>
    <t>___________________ Н.П. Симакович</t>
  </si>
  <si>
    <t xml:space="preserve">224024, Беларусь, г. Брест, ул. Красногвардейская, 150/1-17 (224007, г. Брест, ул. Московская, д. 311, оф. 115), УНП 291477368, ОКПО 500696321000, р/сч IBAN № BYN: BY63 SLAN 3012 2769 4001 2000 0000, RUB: BY21 SLAN 3012 2769 4502 0000 0000 , БИК SLANBY22, в  ЗАО «Банк ВТБ (Беларусь)» РД № 500 в г. Брест (224016, г. Брест, ул. Московская, 208-1), МФО 153001108
</t>
  </si>
  <si>
    <t>- контейнер</t>
  </si>
  <si>
    <t>ИП Гулько Дмитрий Владимирович</t>
  </si>
  <si>
    <t>220025, г. Минск, ул. Есенина, д. 35, к. 1, кв. 188, УНП 191567018 р/с BY54 AKBB 3013 1465 9001 4600 0000 (BYN), р/с BY53AKBB30131465900276000000 (RUB), банк - филиал №500 – Минское управление ОАО «АСБ Беларусбанк» (г.Минск, пр.Дзержинского, 69/1), БИК AKBBBY21500, моб. +375 44 7749992, e-mail: dgcargo1971@gmail.com</t>
  </si>
  <si>
    <t>ИП Гулько Д.В.</t>
  </si>
  <si>
    <t>___________________ Д.В. Гулько</t>
  </si>
  <si>
    <t>№ 640 от 04.04.2018</t>
  </si>
  <si>
    <t>№ 03/04-2018 от 03.04.2018</t>
  </si>
  <si>
    <t>ИП Алиев Эмиль Фаиг оглы</t>
  </si>
  <si>
    <t>220000, г. Минск, пр-т Газеты Правда, 17-112 (223021 Минская обл., Минский р-н, р-н д. Озерцо, Менковский тракт 12-4а ), УНП 391621092, 
р/с BY14 PJCB 3013 0352 1150 2000 0978 220116, БИК  PJCBBY2X, банк  - ОАО "Приорбанк" ЦБУ 119 (г. Минск, пр-т  Дзержинского, 104), +375-29-6695427</t>
  </si>
  <si>
    <t>ИП Алиев Э.Ф.</t>
  </si>
  <si>
    <t>___________________ Э.Ф. Алиев</t>
  </si>
  <si>
    <t>ООО «Аброникс»</t>
  </si>
  <si>
    <t>б/н от 24.01.2018</t>
  </si>
  <si>
    <t>___________________ Д.В. Гончаров</t>
  </si>
  <si>
    <t>ИП Батура Элла Иосифовна</t>
  </si>
  <si>
    <t>ИП Батура Э.И.</t>
  </si>
  <si>
    <t>___________________ Э.И. Батура</t>
  </si>
  <si>
    <t>№ 16/18 от 05.04.2018</t>
  </si>
  <si>
    <t xml:space="preserve">222201, Минская обл., г. Смолевичи, ул. Физкультурная, д. 12 (222201, Минская обл., г. Смолевичи, а/я 55), свидетельство о регистрации № 690819847 от 15.06.2017г. выдано Смолевичским райисполкомом, УНП 690819847, р/счет BY79 BAPB 3013 3054 7001 0000 0000, БИК  BAPBBY2X, банк - ЦБУ №508 в г. Смолевичи РД по Минской обл.
 ОАО «Белагропромбанк» (г. Минск, пр-т Жукова, д.3),  тел. +375-29-6980499, e-mail: ella.batura@mail.ru
</t>
  </si>
  <si>
    <t>223825, Минская обл., Любанский р-н, д.Осовец. ул.Заречная, д. 2А, комн. 5 (220020, г.Минск, пр-т Победителей, д. 89/2, офис 2), УНП 691438454, ОКПО 301945916000, р/c BY20 PJCB 3012 0284 1310 0000 0933, банк - ОАО «Приорбанк» ЦБУ 105 ( г.Минск, ул.Тимирязева, 121/4), код 749, +375-44-787-59-12, +375 29 554-17-04</t>
  </si>
  <si>
    <t>ООО «КМФ-ТРАНС»</t>
  </si>
  <si>
    <t>220092, г. Минск, ул. Б. Берута, д. 3Б/74, оф. 607, УНП 192691457, ОКПО 38299786000, р/с BYN: BY45 MTBK 3012 0001 0933 0007 2399, EUR: BY58MTBK30120001097800072400, RUB: BY83MTBK30120001064300072410, USD: BY43MTBK30120001084000072402, БИК: MTBKBY22, банк -  ЗАО "МТБанк" (220140, ул. Притыцкого, д. 79), +375-29-6013239, +375-29-6063239, +375-29-6303239, info@kmftrans@ya.ru</t>
  </si>
  <si>
    <t>№ 19/04/2-18П от 19.04.2018</t>
  </si>
  <si>
    <t>СП «Санта Импэкс Брест» ООО</t>
  </si>
  <si>
    <t>224025, г. Брест, ул. Катин Бор, д. 106А, УНН 200216443, ОКПО 14391659000, р/с BYN: BY19 BAPB 3012 2400 9001 1000 0000, RUB: BY08BAPB30122400980110000000, USD:  BY97BAPB30122400950110000000, БИК: BAPBBY2Х, банк - ОАО «Белагропромбанк» (г. Брест, ул. Воровского, д. 11), р/с EUR: BY75PJCB30125000005020000978, БИК: PJCBBY2X, банк - ОАО «Приорбанк» ЦБУ 500 (г. Брест, бул. Шевченко, д. 6)</t>
  </si>
  <si>
    <t>№ 046 от 18.04.2018</t>
  </si>
  <si>
    <t>Нач. отдела экспедиции</t>
  </si>
  <si>
    <t>___________________ В.А. Голенчук</t>
  </si>
  <si>
    <t>220007, г. Минск, ул. Фабрициуса, д. 8Б, к. 1, пом. 1, каб. 6а (220112, г. Минск, ул. Янки Лучины, д. 7, пом. 504, 508), УНП 192966620, р/с BYN:  BY04 MMBN 3012 0709 9001 0000 0000, БИК: MMBNBY22, банк - ОАО «Банк Москва-Минск» (220002, г. Минск, ул. Коммунистическая, д. 49), р/с RUB: BY85BELB30120132610040226000, EUR: BY03BELB30120132610030226000, USD: BY18BELB30120132610020226000, БИК: BELBBY2X, банк - ОАО «Банк БелВЭБ» (220004, г. Минск, пр-т Победителей, д. 29), тел/факс +375 17 3000025, info@tvlogistic.ru</t>
  </si>
  <si>
    <t>№2018/04-3106 от 23.04.2018</t>
  </si>
  <si>
    <t>ООО «Креативная логистика»</t>
  </si>
  <si>
    <t>Частное предприятие «РР-Транс»</t>
  </si>
  <si>
    <t>220100, г. Минск, ул. Кульман, 21А (220102, г. Минск, а/я 67), УНН 100342442, ОКПО 14509629, р/с : BYN BY38 BLBB 3012 0100 3424 4200 1001, USD: BY43BLBB30120100342442001008, EUR: BY81BLBB30120100342442001003, RUB: BY97BLBB30120100342442001006, БИК BLBBBY2X, банк - Дирекция ОАО «Белинвестбанк» по г.Минску и Минской обл. (г. Минск, ул. Коллекторная, 11), e-mail: forward@rudolf.by, www.rudolf.by, тел. +375-17-2419999, факс +375-17-2886100</t>
  </si>
  <si>
    <t>№ 2636–П-ОЛ/2018 от 24.04.2018</t>
  </si>
  <si>
    <t>Экспедитор</t>
  </si>
  <si>
    <t>___________________ О.Ю. Тарасов</t>
  </si>
  <si>
    <t>ИООО «АсстрА Белорашиа»</t>
  </si>
  <si>
    <t>___________________ М.Г. Храмченко</t>
  </si>
  <si>
    <t>___________________ В.Н. Рахманов</t>
  </si>
  <si>
    <t>№ ABP 152-01.18 от 02.05.2018</t>
  </si>
  <si>
    <t>ИП Попетская Татьяна Сергеевна</t>
  </si>
  <si>
    <t>225051, Брестская обл., г. Каменец, ул. Матросова, д. 5А, кв. 49 (почтовый адрес: 220116, г. Минск, а/я 139), УНП 291301864, р/с BY58MTBK 3013 0001 0933 0004 2712, BY48MTBK30130001064300042714, БИК MTBKBY22, банк - ЗАО "МТБанк" (г. Минск, ул. Толстого, д. 10), моб. +375 29 2007133;8044 585 00 62, 8017 300 48 80, e-mail: kalina050479@mail.ru</t>
  </si>
  <si>
    <t>№ 287 от 14.05.2018</t>
  </si>
  <si>
    <t>ИП Попетская Т.С.</t>
  </si>
  <si>
    <t>220125, г. Минск, пр-т Независимости, 177-71, 2 этаж, каб. 12 (а/я 223, 220125, г. Минск), УНП 190587864, ОКПО 37656853, р/с IBAN: BY75BLNB30120000018093000933 (BYN), IBAN: BY30BLNB30120000018093001840 (USD), IBAN: BY87BLNB30120000018093001978 (EUR), IBAN: BY14BLNB30120000018093001643 (RUB), BIC BLNBBY2X, банк - в ОАО "БНБ-Банк", olga.mintel@asstra.com, +375-29-6170339</t>
  </si>
  <si>
    <t>б/н от 21.05.2018</t>
  </si>
  <si>
    <t>___________________ Ю.М. Семенчик</t>
  </si>
  <si>
    <t>ООО "ВиПиэС спедишн"</t>
  </si>
  <si>
    <t>Частное предприятие "БРАВТ"</t>
  </si>
  <si>
    <t>220073, г. Минск, ул. Скрыганова, д. 6, пом. 25, оф. 2203 (220079, г. Минск, а/я 75), УНП 192628076, р/с BY86 MTBK 3012 0001 0933 0007 0012, БИК MTBKBY22, банк - ЗАО "МТБанк" (г. Минск, ул. Толстого, д. 10), +375-17-2043219, +375-29-3250241, +375-29-3250139, +375-29-3250297, e-mail: trans@bravt.by</t>
  </si>
  <si>
    <t>№ П210-18/ЕК от 22.05.2018</t>
  </si>
  <si>
    <t>Нач. отдела</t>
  </si>
  <si>
    <t>___________________ Е.А. Кийко</t>
  </si>
  <si>
    <t>ИП Щербицкий Александр Валерьевич</t>
  </si>
  <si>
    <t>223013, Минская обл., Минский р-он, п.Самохваловичи, ул.Ковалева 1А-60, УНП 691386667, р/с (BYN) BY22 UNB5 3013 0751 5000 6000 0933, БИК UNBSBY2X, банк - ЗАО «БелСвиссБанк» (г. Минск, пр.Победителей 23, корп.3), МФО 153001175</t>
  </si>
  <si>
    <t>Ковальчук Наталья Владимировна</t>
  </si>
  <si>
    <t>Россия, 109469, г. Москва, ул. Братиславская, д. 30, кв. 75, паспорт 45 03 398500 выдан ОВД Марьинского Парка г. Москвы (код поразделения 772-083) 17.07.2002, +79037965844</t>
  </si>
  <si>
    <t>№ 02/04-804 от 31.05.2018</t>
  </si>
  <si>
    <t>___________________ Н.В. Ковальчук</t>
  </si>
  <si>
    <t>ИП Рукша Анна Викторовна</t>
  </si>
  <si>
    <t>230021, г. Гродно, ул. Белые Росы, 65-63 (230005, г. Гродно, ул. Гаспадарчая, 11), УНП 591259962, р/с BY44 AKBB 3013 0000 6188 6400 0000 (BYN), BY80 AKBB 3013 0000 6190 3400 0000 (RUB), BY43 AKBB 3013 0000 6189 9400 0000 (EUR), BY02 AKBB 3013 0000 6233 5400 0000 (USD), банк - ОАО «АСБ Беларусбанк», филиал № 400 – Гродненское областное управление, БИК AKBBBY21400, +375-33-6870094, vita_6870094@mail.ru</t>
  </si>
  <si>
    <t>№ 264 от 21.03.2018</t>
  </si>
  <si>
    <t xml:space="preserve">ИП Рукша А.В. </t>
  </si>
  <si>
    <t>___________________ А.В. Рукша</t>
  </si>
  <si>
    <t>ИП Яковук Игорь Дмитриевич</t>
  </si>
  <si>
    <t>224001, г. Брест,  ул. Боброва, д. 47/1, УНП 290177415 , свидетельство №28250 от 10 января 2002 года, р/с: BY36 BPSB 3013 3021 9601 5933 0000, БИК BPSBBY2X, банк - ОАО "БПС-Сбербанк", +375-29-7246810, 7246810@mail.ru</t>
  </si>
  <si>
    <t>б/н от 28.06.2018</t>
  </si>
  <si>
    <t>ИП Яковук И.Д.</t>
  </si>
  <si>
    <t>___________________ И.Д. Яковук</t>
  </si>
  <si>
    <t xml:space="preserve">224024, г. Брест, </t>
  </si>
  <si>
    <t xml:space="preserve">ул. Чернянская, д. 8/2, </t>
  </si>
  <si>
    <t>+375-33-6870094</t>
  </si>
  <si>
    <t>Реквизиты (в первоначальном формате)</t>
  </si>
  <si>
    <t>Адрес почтовый</t>
  </si>
  <si>
    <t>индекс и населенный пункт</t>
  </si>
  <si>
    <t>местонахождение</t>
  </si>
  <si>
    <t>страна</t>
  </si>
  <si>
    <t>230005, г. Гродно</t>
  </si>
  <si>
    <t>ул. Гаспадарчая, д. 11</t>
  </si>
  <si>
    <t>224001, г. Брест</t>
  </si>
  <si>
    <t>ул. Боброва, д. 47/1</t>
  </si>
  <si>
    <t xml:space="preserve"> 224029, г. Брест-29</t>
  </si>
  <si>
    <t xml:space="preserve"> до востребования</t>
  </si>
  <si>
    <t>224025, г. Брест, ул. Дубровская, д. 25, кв. 44, УНП 291140425, р/с BY49 OLMP 3013 3000 2079 7000 0933, БИК OLMPBY2X, банк - ОАО «Белгазпромбанк» (г. Минск), МФО  153001472</t>
  </si>
  <si>
    <t>224025, г. Брест</t>
  </si>
  <si>
    <t>ИП Семенчик Юрий Мечиславович</t>
  </si>
  <si>
    <t>224023, г. Брест</t>
  </si>
  <si>
    <t>ул. Сябровская, 73-0</t>
  </si>
  <si>
    <t>224013, г. Брест</t>
  </si>
  <si>
    <t>ул. МОПРа, д. 5/2</t>
  </si>
  <si>
    <t>ул. Дубровская, д. 25, кв. 44</t>
  </si>
  <si>
    <t xml:space="preserve"> 21-500, Biała Podlaska</t>
  </si>
  <si>
    <t>Janowska, 66</t>
  </si>
  <si>
    <t>Poland</t>
  </si>
  <si>
    <t>223021, Минская обл., Минский р-н, р-н д. Озерцо</t>
  </si>
  <si>
    <t xml:space="preserve"> Менковский тракт 12-4А</t>
  </si>
  <si>
    <t>223123, Брестская обл., Жабинковский р-он, Хмелевский с/с, д. Подлесье, УНП 291127799, р/с BYN N BY83 OLMP 3012 3000 8819 2000 0933, БИК OLMPBY2X, банк - ОАО "Белгазпромбанк" (220121, г. Минск, ул. Притыцкого, 60/2), МФО 153001742, e-mail: stanlex01@mail.ru</t>
  </si>
  <si>
    <t>223123, Хмелевский с/с, д. Подлесье</t>
  </si>
  <si>
    <t>Брестская обл., Жабинковский р-он</t>
  </si>
  <si>
    <t>___________________ А.И. Рищук</t>
  </si>
  <si>
    <t>SRL "AMBICONT"</t>
  </si>
  <si>
    <t>Юр. адрес: 3506, г.Орхей, ул.Михай Витязул, 8 (MD-3506, str. Mihai Viteazul, 8, or. Orhei, Republica Moldova), почтовый адрес: г. Кишинэу, ул. Сармиседжетуза, д. 92, офис 222 (Chisinau, str. Sarmizegetusa 92, bir. 222), фискальный код (c/f) 1013606003675, код НДС (TVA) 7401129, р/с (c/c) № MD 44ML 000 000 0022 5173 6293, БИК (cod bancar) MOLDMD2X336, банк - BC "Moldindconbank" S.A., office@ambicont.md, +373 69 328 181, +373 691 07 947, +373 60 279995</t>
  </si>
  <si>
    <t>MD-2000, Chisinau</t>
  </si>
  <si>
    <t>str. Sarmizegetusa 92, bir. 222</t>
  </si>
  <si>
    <t>Moldova</t>
  </si>
  <si>
    <t>Директор (Direktore)</t>
  </si>
  <si>
    <t>___________________ А.В. Цуркан (V. Turkan)</t>
  </si>
  <si>
    <t>ООО "БелРомСтил"</t>
  </si>
  <si>
    <t>220085, г. Минск, ул. Плеханова, д. 55, каб. 17 (220007, г. Минск, ул. Могилевская, д. 39А, оф. 104), УНП 191403639, ОКПО 379168865000, р/с BY23 BLNB 3012 0000 0880 0000 0993, БИК BLNBBY2X, банк - ОАО "БНБ-Банк" (г. Минск, пр-т Независимости, д. 87А), zabavskiy.vadim@gmail.com, info@steel.by, +375-17-3362080</t>
  </si>
  <si>
    <t>220007, г. Минск</t>
  </si>
  <si>
    <t>ул. Могилевская, д. 39А, оф. 104</t>
  </si>
  <si>
    <t>№ 02/04-805 от 20.07.2018</t>
  </si>
  <si>
    <t>___________________ В.О. Забавский</t>
  </si>
  <si>
    <t>SRL "Dav Logistic Expedition"</t>
  </si>
  <si>
    <t>Adresa juridica: MD-2072, str. Pandurilor 39, mun Chisinau, Republica Moldova, Adresa postala: Republica Moldova, MD-2062, or. Chisinau, Bd. Dacia, 49/6 of.334, IDNO: 1018600015307, IBAN: MD95 PR00 2224 1875 7700 1498 MDL, MD36 PR00 2224 1875 7700 1978 EUR, MD76 PR00 2224 1875 7700 1840 USD, SWIFT PRCBMD22, bank - "ProCredit Bank", тел.: +37378595444, e-mail: davxlogistic@gmail.com, Aдрес юр: MD-2072, Республика Молдова, ул. Пандурилор, 39, оф.2, адрес почтовый: Молдова, MD-2062, мун. Кишинев, бул. Дачия, д. 49/6, оф. 334</t>
  </si>
  <si>
    <t>MD-2062, or. Chisinau</t>
  </si>
  <si>
    <t>Bdu Dacia, 49/6, of. 334</t>
  </si>
  <si>
    <t>№ А-4 от 11.07.2018</t>
  </si>
  <si>
    <t>Администратор (Administrator)</t>
  </si>
  <si>
    <t>___________________ Нюкалова Анна (Niucalova Ana)</t>
  </si>
  <si>
    <t>ООО "Эрлен"</t>
  </si>
  <si>
    <t>211302, Витебская обл., Витебский р-он, Новкинский с/с, М3, 251-км, д.1/20, п. 1 (210039, г. Витебск, ул. Воинов-Интернационалистов, 39, ком. 10), УНП 391191825, р/с BY02 BLBB 3012 0391 1918 2500 1001, БИК BLBB BY2X, банк - Дирекция ОАО «Белинвестбанк» по Витебской обл. (г. Витебск, ул. Ленина, 22-16), e-mail: oooerlen@mail.ru, тeл./факс: 8 0212 61 33 44, Моб. 8 029 216 33 44, 8 029 116 43 44, http://erlen.by/</t>
  </si>
  <si>
    <t>210039, г. Витебск</t>
  </si>
  <si>
    <t>ул. Воинов-Интернационалистов, 39, ком. 10</t>
  </si>
  <si>
    <t>№ 02/04-806 от 26.07.2018</t>
  </si>
  <si>
    <t>___________________ М.И. Журко</t>
  </si>
  <si>
    <t>230028, г. Гродно</t>
  </si>
  <si>
    <t>ул. Лагодная, д. 14</t>
  </si>
  <si>
    <t>Частное предприятие «РОМАЛ»</t>
  </si>
  <si>
    <t>231337, Гродненская обл., г. Ивье, ул. 1 Мая, д. 121, пом. 5, УНН 590193412, р/с в BYN: BY97 PJCB 3012 6132 6710 0000 0933, БИК PJCBBY2X, банк - ЦБУ №602 г. Лида ОАО «Приорбанк» (г. Минск),  тел.: +375-1595-26-206, +375-29-6110127, +375-33-6549125</t>
  </si>
  <si>
    <t>231337, Гродненская обл., г. Ивье</t>
  </si>
  <si>
    <t>ул. 1 Мая, д. 121, пом. 5</t>
  </si>
  <si>
    <t>б/н от 07.08.2018</t>
  </si>
  <si>
    <t>___________________ Р.Ю. Лукша</t>
  </si>
  <si>
    <t>220075, г. Минск, пр-т Партизанский, д. 178, пом. 501, секция 4 (220021, г. Минск, а/я 17), УНП 192945886, ОКПО 500923325000, р/с BYN BY39 BPSB 3012 3016 1401 0933 0000, БИК BPSBBY2X, банк - ЦБУ № 704 ОАО «БПС-Сбербанк» (г. Минск, ул. Уральская, д. 1 А), тел.: +375(29)3659933, e-mail: impex_logistic@outlook.com</t>
  </si>
  <si>
    <t>220021, г. Минск</t>
  </si>
  <si>
    <t>а/я 17</t>
  </si>
  <si>
    <t>№ 1043 от 14.08.2018</t>
  </si>
  <si>
    <t>___________________ О.А. Заяц</t>
  </si>
  <si>
    <t xml:space="preserve">224002, г. Брест </t>
  </si>
  <si>
    <t xml:space="preserve"> ул. Воинов-интернационалистов, д. 33</t>
  </si>
  <si>
    <t xml:space="preserve"> 220037, г. Минск</t>
  </si>
  <si>
    <t xml:space="preserve"> пер. Козлова, 7Г, оф. 507</t>
  </si>
  <si>
    <t>220037, Беларусь, г. Минск, пер. Козлова, 7Г, оф. 507, УНП 192405044, р/с: BY46 BPSB 3012 1714 7901 0933 0000 (BYN),  BY71BPSB30121714790239780000 (EUR), BY91BPSB30121714790496430000 (RUB), BY92BPSB30121714790658400000 (USD), БИК 153001369, банк - ЦБУ № 704 ОАО «БПС-Сбербанк» (г. Минск, ул. Уральская, 1А),  +375333009720</t>
  </si>
  <si>
    <t>РУП «Белтаможсервис»</t>
  </si>
  <si>
    <t>225038, Брестская обл., Брестский р-н, 2.0 км юго-западнее аг. Клейники</t>
  </si>
  <si>
    <t>Клейниковский с/с, 10, АБК</t>
  </si>
  <si>
    <t>№ УЭО/0350-18-431</t>
  </si>
  <si>
    <t>Директор филиала</t>
  </si>
  <si>
    <t>___________________ В.А. Балдовский</t>
  </si>
  <si>
    <t xml:space="preserve">223049, Минская обл., Минский р-н, Щомыслицкий с/с, 17-й км автодороги Минск-Дзержинск, АБК, каб. 75 (225038, Брестская обл., Брестский р-н, Клейниковский с/с, 10, 2.0 км юго-западнее аг. Клейники, АБК), УНП 101561144, ОКПО 37529913, р/с (BYN) BY61 AKBB 3012 7218 0000 6100 0000, БИК AKBBBY21100, банк - ф-л №100 БОУ ОАО «АСБ «Беларусбанк», +375297288139, lenatarasuk1988@gmai.com
</t>
  </si>
  <si>
    <t>220102, г. Минск</t>
  </si>
  <si>
    <t>ул. Лазо, д. 16, комн. 3-39</t>
  </si>
  <si>
    <t>213808, г. Бобруйск</t>
  </si>
  <si>
    <t>ул. Западная, д. 19, каб. 40-41</t>
  </si>
  <si>
    <t>224016, г. Брест, ул. Орджоникидзе, д. 37 (225303, г. Кобрин, а/я 4), УНП 290954947, ОКПО 298659041000, р/с BYN BY96 SLAN 3012 3596 7001 0000 0000, БИК SLANBY22, банк – ЗАО «Банк ВТБ (Беларусь)» РД № 500 в г. Брест (224016, г. Брест, ул. Московская, 208-1), МФО 153001108</t>
  </si>
  <si>
    <t>225303, Брестская обл., г. Кобрин</t>
  </si>
  <si>
    <t>а/я 4</t>
  </si>
  <si>
    <t>№ 3306 от 27.11.2014</t>
  </si>
  <si>
    <t>ЗАО "БелХимСервис"</t>
  </si>
  <si>
    <t xml:space="preserve">220072, г. Минск, ул. П.Бровки, д. 15, оф. 508, УНН 100968447 ОКПО 37368522, р/с (BYN) BY84 AKBB 3012 0175 5001 0550 0000, БИК AKBBВY21529, банк - ф-л № 529 «Белсвязь» ОАО АСБ «Беларусбанк», код 720,  адрес банка: 220005, г.Минск, пр-т Независимости, д. 56, тел.: +375 (17) 284-24-92, 284-02-28, факс: +375 (17) 284-12-97,
</t>
  </si>
  <si>
    <t>220072, г. Минск</t>
  </si>
  <si>
    <t>ул. П.Бровки, д. 15, оф. 508</t>
  </si>
  <si>
    <t>№ 5012-b от 23.08.2018</t>
  </si>
  <si>
    <t>___________________ В.К. Агафонов</t>
  </si>
  <si>
    <t>ООО «БелТрансАврас»</t>
  </si>
  <si>
    <t>223039, Минская обл., Минский р-он, Хатежинский с/с, а.г. Хатежино, ул. Центральная, д. 18Б/10, пом. 10/5, УНП 291232526, р/с (BYN) BY35PJCB30120489221000000933, БИК PJCBBY2X, банк - ЦБУ №109 ОАО «Приорбанк» (г. Минск, ул. Притыцкого, д. 105), тел.: +375445671829, +375447427589, +375297291281, +375445137707, факс (17)5122319</t>
  </si>
  <si>
    <t>а.г. Хатежино, ул. Центральная, д. 18Б/10, пом. 10/5</t>
  </si>
  <si>
    <t>223039, Минская обл., Минский р-он, Хатежинский с/с</t>
  </si>
  <si>
    <t>б/н от 12.09.2018</t>
  </si>
  <si>
    <t>___________________ В.В. Власовец</t>
  </si>
  <si>
    <t>220073, г. Минск</t>
  </si>
  <si>
    <t xml:space="preserve"> ул. Скрыганова, д. 6, оф. 3320</t>
  </si>
  <si>
    <t>ИП Игнатиков Артур Олегович</t>
  </si>
  <si>
    <t>222515, Минская обл., г. Борисов, ул. Пушкина, д. 10, кв. 34 (222520, Минская обл., г. Борисов, ул. 30 лет ВЛКСМ, д. 36, оф. 206), УНП 691928370, BYN - BY05 MMBN 3013 0203 9001 0000 0000, RUB - BY75MMBN30130203920100000000, USD - BY40MMBN30130203910100000000, EUR - BY13MMBN30130203930100000000, БИК 153001272, банк - ОАО "Банк Москва-Минск" (г. Минск)</t>
  </si>
  <si>
    <t>222515, Минская обл., г. Борисов</t>
  </si>
  <si>
    <t xml:space="preserve">ул. Пушкина, д. 10 </t>
  </si>
  <si>
    <t>№ 2018/10/04 от 04.10.2018</t>
  </si>
  <si>
    <t>ИП Игнатиков А.О.</t>
  </si>
  <si>
    <t>___________________ А.О. Игнатиков</t>
  </si>
  <si>
    <t>№ 181010-01 Tt от 10.10.2018</t>
  </si>
  <si>
    <t>ООО "ТСП групп"</t>
  </si>
  <si>
    <t>___________________ В.А. Морозов</t>
  </si>
  <si>
    <t>ул. Скрыганова, д. 14, пом. 33</t>
  </si>
  <si>
    <t>220073, г. Минск, ул. Скрыганова, д. 14, пом. 33, УНП 191121924, ОКПО 378714395000, р/с IBAN BYN: BY53 UNBS 3012 0237 1300 5000 1933, EUR: BY98UNBS30120237130180001978, RUB: BY25UNBS30120237130180001643, USD: BY41UNBS30120237130180001840, БИК: UNBSBY2X, банк - ЗАО "БСБ Банк" РКЦ 1 (г. Минск, пл. Свободы, д. 4), тел.(факс): +375 (17) 231 38 18, 231 52 82</t>
  </si>
  <si>
    <t>211400, г. Полоцк, ул. Октябрьская, д. 25/1-6, оф. 17, УНП 390390118, ОКПО 293064122, р/с BY85 PJCB 3012 2104 7010 0000 0933, БИК PJCBBY2X, банк - ОАО "Приорбанк" ЦБУ 202 г. Полоцка (ул. Е. Полоцкой, 1А), МФО 153001749</t>
  </si>
  <si>
    <t>211400, г. Полоцк</t>
  </si>
  <si>
    <t xml:space="preserve">  ул. Октябрьская, д. 25/1-6, оф. 17</t>
  </si>
  <si>
    <t>___________</t>
  </si>
  <si>
    <t>___________________ _______________</t>
  </si>
  <si>
    <t>ООО «РУЗЭКСПЕДИЦИЯ»</t>
  </si>
  <si>
    <t xml:space="preserve">220046, г. Минск, ул. Промышленная, д. 24, оф. 35 (220004, г. Минск, ул. Немига,  д. 40, оф. 304), УНП 690664113, р/с: BY89 ALFA 3012 2140 9701 5027 0000 (BYN), BY75ALFA30122140970030270000 (EUR), BY90ALFA30122140970020270000 (USD), BY08ALFA30122140970010270000 (RUB),  БИК ALFABY2X , банк - ОАО «Альфа-Банк» (220030, г. Минск, ул. Сурганова, 43-47), тел. +37517 2006232, +37529-6709585, e-mail: info@ruz.by
</t>
  </si>
  <si>
    <t>220004, г. Минск</t>
  </si>
  <si>
    <t>ул. Немига,  д. 40, оф. 304</t>
  </si>
  <si>
    <t>№ ДП 237 от 22.10.2018</t>
  </si>
  <si>
    <t>___________________ Е.Ю. Крохотин</t>
  </si>
  <si>
    <t xml:space="preserve">220020, г. Минск </t>
  </si>
  <si>
    <t>пр-т Победителей, 103, пом. 6 на 9 этаже</t>
  </si>
  <si>
    <t>№ 20180515.2 от 15.05.2018</t>
  </si>
  <si>
    <t>___________________ C.C. Юрецкий</t>
  </si>
  <si>
    <t>220102, г. Минск, ул. Лазо, д. 16, комн. 3-39, УНП 192981464, р/с BYN: BY47 ALFA 3012 2388 8300 1027 0000, USD: BY02 ALFA 3012 2388 8300 4027 0000, EUR: BY84 ALFA 3012 2388 8300 5027 0000, RUB: BY17 ALFA 3012 2388 8300 3027 0000, БИК - ALFABY2X, банк - ЗАО "Альфа-Банк" (220007, г. Минск, ул. Сурганова, д. 43, оф. 47), +375-17-3886242, +37533-3338282</t>
  </si>
  <si>
    <t>СООО “Брествнештранс”</t>
  </si>
  <si>
    <t>224004, г. Брест, ул. Дубровская, д. 36, р/с BY81 PJCB 3012 5001 5910 0000 0933(BYN), BY23PJCB30125001595030000643(RUB), BY84PJCB30125001595000000840(USD), BY29PJCB30125001595010000978(EUR), BY19PJCB30125001595020000985(PLN), БИК PJCBBY2X, банк - ОАО «Приорбанк» ЦБУ 500 (г. Брест), МФО 153001749, тел/факс: +375162 / 591524, тел.: +375162 / 277008, 277073, 277055, market@brestvneshtrans.by, www.brestvneshtrans.by</t>
  </si>
  <si>
    <t>ул. Дубровская, д. 36</t>
  </si>
  <si>
    <t>224004, г. Брест</t>
  </si>
  <si>
    <t>№ 3781 от 15.05.2018</t>
  </si>
  <si>
    <t>___________________ А.В. Вакульчик</t>
  </si>
  <si>
    <t>ЗАО "ЮНИФУД"</t>
  </si>
  <si>
    <t>220136, г. Минск, ул. Притыцкого, д. 93, 4-й этаж, оф. 11, УНП 800016624, ОКПО 37581210, р/с BY66 ALFA 3012 2009 3800 3027 0000, БИК: ALFABY2X, банк - ЗАО «Альфа-Банк», МФО 153001270, +375-44-5308565</t>
  </si>
  <si>
    <t>220136, г. Минск</t>
  </si>
  <si>
    <t>ул. Притыцкого, д. 93, 4-й этаж, оф. 11</t>
  </si>
  <si>
    <t>___________________ И.С. Иванцов</t>
  </si>
  <si>
    <t>Частное предприятие "ИмпЭкс Логистик"</t>
  </si>
  <si>
    <t>Унитарное предприятие «Гефест-техника»</t>
  </si>
  <si>
    <t xml:space="preserve">224002, г. Брест, ул. Суворова, д. 2, УНП 809000553, ОКПО 29174301, р/с IBAN  BY73 BPSB 3012 1210 7901 1933 0000, БИК BPSBBY2X, банк - Региональная Дирекция № 100 ОАО «БПС-Сбербанк», e-mail: gt.off@gefest.org, +375162-287375 
</t>
  </si>
  <si>
    <t>ул. Суворова, д. 2</t>
  </si>
  <si>
    <t>№ 02-04/807 от 27.12.2018</t>
  </si>
  <si>
    <t>___________________ В.С. Фисюк</t>
  </si>
  <si>
    <t>Вручено "_____" ______________ 2019 г. _____________________________</t>
  </si>
  <si>
    <t xml:space="preserve">С/тягач Scania AM 9693-1, п/прицеп Mirofret А 4992 В-1 </t>
  </si>
  <si>
    <t xml:space="preserve">С/тягач DAF AM 0913-1, п/прицеп Mirofret А 4992 В-1 </t>
  </si>
  <si>
    <t xml:space="preserve">С/тягач MAN AM 9189-1 , п/прицеп Koegel A 4998 B-1 </t>
  </si>
  <si>
    <t xml:space="preserve">С/тягач MAN AM 9189-1 , п/прицеп Fliegl  А 0728 В-1 </t>
  </si>
  <si>
    <t>Грузовой автофугон AI 5744-1</t>
  </si>
  <si>
    <t>ООО «Стартпартнеравто»</t>
  </si>
  <si>
    <t xml:space="preserve">223016, Минский р-н, д. Королищевичи, Новодворский с/с 72, пом. 202 (почтовый адрес: 220047, г. Минск, а/я 6), УНП 192779406, р/с BY08 MTBK 3012 0001 0933 0007 8788, БИК MTBKBY22, банк - ЗАО "МТБанк" (г. Минск, ул. Шафарнянская, 11, РКЦ «ПОРТ»), тел.: +375-44-5197344, startpartneravto@gmail.com
</t>
  </si>
  <si>
    <t>220047, г. Минск</t>
  </si>
  <si>
    <t>а/я 6</t>
  </si>
  <si>
    <t>№ 35-02/19 от 11.02.2019</t>
  </si>
  <si>
    <t>___________________ И.В. Крищенович</t>
  </si>
  <si>
    <t>Яшкин Сергей Зиновьевич</t>
  </si>
  <si>
    <t>Сазонов Анатолий Владимирович</t>
  </si>
  <si>
    <t>Кудла Александр Васильевич</t>
  </si>
  <si>
    <t>Ставка НДС, %</t>
  </si>
  <si>
    <t>Оплата производится в рублях по курсу Нацбанка РБ на день оплаты</t>
  </si>
  <si>
    <t>Ниже старая формула (целые, еще в BYR)</t>
  </si>
  <si>
    <t>белорусских рублей</t>
  </si>
  <si>
    <t>долларов США</t>
  </si>
  <si>
    <t>евро</t>
  </si>
  <si>
    <t>копеек</t>
  </si>
  <si>
    <t>центов</t>
  </si>
  <si>
    <t>евроцентов</t>
  </si>
  <si>
    <t>Валюта расчета</t>
  </si>
  <si>
    <t>BYN</t>
  </si>
  <si>
    <t>USD</t>
  </si>
  <si>
    <t>EUR</t>
  </si>
  <si>
    <t>RUB</t>
  </si>
  <si>
    <t>Стоимость услуг на дату акта в BYN:</t>
  </si>
  <si>
    <t>&lt;-текст</t>
  </si>
  <si>
    <t>&lt;-число</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</si>
</sst>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_ ;[Red]\-#,##0\ "/>
    <numFmt numFmtId="165" formatCode="#,##0.00_ ;[Red]\-#,##0.00\ "/>
    <numFmt numFmtId="166" formatCode="#,##0.0000_ ;[Red]\-#,##0.0000\ "/>
  </numFmts>
  <fonts count="33">
    <font>
      <sz val="11"/>
      <color theme="1"/>
      <name val="Calibri"/>
      <family val="2"/>
      <charset val="204"/>
      <scheme val="minor"/>
    </font>
    <font>
      <sz val="8"/>
      <color theme="1"/>
      <name val="Times New Roman"/>
      <family val="1"/>
      <charset val="204"/>
    </font>
    <font>
      <sz val="10"/>
      <color theme="1"/>
      <name val="Times New Roman"/>
      <family val="1"/>
      <charset val="204"/>
    </font>
    <font>
      <sz val="10"/>
      <color theme="1"/>
      <name val="Calibri"/>
      <family val="2"/>
      <charset val="204"/>
      <scheme val="minor"/>
    </font>
    <font>
      <sz val="12"/>
      <color theme="1"/>
      <name val="Calibri"/>
      <family val="2"/>
      <charset val="204"/>
      <scheme val="minor"/>
    </font>
    <font>
      <sz val="11"/>
      <color theme="1"/>
      <name val="Calibri"/>
      <family val="2"/>
      <charset val="204"/>
    </font>
    <font>
      <sz val="10"/>
      <name val="Arial"/>
      <family val="2"/>
      <charset val="204"/>
    </font>
    <font>
      <sz val="8"/>
      <name val="Arial"/>
      <family val="2"/>
      <charset val="204"/>
    </font>
    <font>
      <sz val="11"/>
      <color theme="1"/>
      <name val="Arial Unicode MS"/>
      <family val="2"/>
      <charset val="204"/>
    </font>
    <font>
      <sz val="12"/>
      <color theme="1"/>
      <name val="Arial Unicode MS"/>
      <family val="2"/>
      <charset val="204"/>
    </font>
    <font>
      <sz val="10"/>
      <color theme="1"/>
      <name val="Arial Unicode MS"/>
      <family val="2"/>
      <charset val="204"/>
    </font>
    <font>
      <b/>
      <sz val="16"/>
      <color theme="1"/>
      <name val="Arial"/>
      <family val="2"/>
      <charset val="204"/>
    </font>
    <font>
      <b/>
      <sz val="18"/>
      <color theme="1"/>
      <name val="Arial"/>
      <family val="2"/>
      <charset val="204"/>
    </font>
    <font>
      <sz val="12"/>
      <color theme="1"/>
      <name val="Arial"/>
      <family val="2"/>
      <charset val="204"/>
    </font>
    <font>
      <sz val="16"/>
      <color theme="1"/>
      <name val="Arial"/>
      <family val="2"/>
      <charset val="204"/>
    </font>
    <font>
      <sz val="11"/>
      <color theme="1"/>
      <name val="Arial"/>
      <family val="2"/>
      <charset val="204"/>
    </font>
    <font>
      <b/>
      <sz val="13"/>
      <color theme="1"/>
      <name val="Arial"/>
      <family val="2"/>
      <charset val="204"/>
    </font>
    <font>
      <sz val="12"/>
      <color theme="1"/>
      <name val="Wingdings"/>
      <charset val="2"/>
    </font>
    <font>
      <sz val="8"/>
      <color theme="1"/>
      <name val="Arial"/>
      <family val="2"/>
      <charset val="204"/>
    </font>
    <font>
      <sz val="10"/>
      <color theme="1"/>
      <name val="Arial"/>
      <family val="2"/>
      <charset val="204"/>
    </font>
    <font>
      <b/>
      <sz val="14"/>
      <color theme="1"/>
      <name val="Arial"/>
      <family val="2"/>
      <charset val="204"/>
    </font>
    <font>
      <sz val="6"/>
      <color theme="1"/>
      <name val="Arial"/>
      <family val="2"/>
      <charset val="204"/>
    </font>
    <font>
      <sz val="9"/>
      <color theme="1"/>
      <name val="Arial Unicode MS"/>
      <family val="2"/>
      <charset val="204"/>
    </font>
    <font>
      <b/>
      <sz val="8"/>
      <color theme="1"/>
      <name val="Times New Roman"/>
      <family val="1"/>
      <charset val="204"/>
    </font>
    <font>
      <b/>
      <sz val="11"/>
      <color theme="1"/>
      <name val="Calibri"/>
      <family val="2"/>
      <charset val="204"/>
      <scheme val="minor"/>
    </font>
    <font>
      <b/>
      <sz val="10"/>
      <color theme="1"/>
      <name val="Calibri"/>
      <family val="2"/>
      <charset val="204"/>
      <scheme val="minor"/>
    </font>
    <font>
      <sz val="14"/>
      <color theme="1"/>
      <name val="Calibri"/>
      <family val="2"/>
      <charset val="204"/>
      <scheme val="minor"/>
    </font>
    <font>
      <b/>
      <sz val="14"/>
      <color theme="1"/>
      <name val="Calibri"/>
      <family val="2"/>
      <charset val="204"/>
      <scheme val="minor"/>
    </font>
    <font>
      <b/>
      <sz val="16"/>
      <color theme="1"/>
      <name val="Calibri"/>
      <family val="2"/>
      <charset val="204"/>
      <scheme val="minor"/>
    </font>
    <font>
      <b/>
      <sz val="8"/>
      <color theme="1"/>
      <name val="Arial"/>
      <family val="2"/>
      <charset val="204"/>
    </font>
    <font>
      <sz val="8"/>
      <color theme="1"/>
      <name val="Calibri"/>
      <family val="2"/>
      <charset val="204"/>
      <scheme val="minor"/>
    </font>
    <font>
      <b/>
      <sz val="12"/>
      <color theme="1"/>
      <name val="Calibri"/>
      <family val="2"/>
      <charset val="204"/>
      <scheme val="minor"/>
    </font>
    <font>
      <i/>
      <sz val="9"/>
      <color theme="1"/>
      <name val="Calibri"/>
      <family val="2"/>
      <charset val="204"/>
      <scheme val="minor"/>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9" tint="0.39997558519241921"/>
        <bgColor indexed="64"/>
      </patternFill>
    </fill>
    <fill>
      <patternFill patternType="solid">
        <fgColor theme="4"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diagonal/>
    </border>
    <border>
      <left/>
      <right/>
      <top style="thin">
        <color indexed="64"/>
      </top>
      <bottom style="thin">
        <color indexed="64"/>
      </bottom>
      <diagonal/>
    </border>
    <border>
      <left/>
      <right style="thin">
        <color indexed="64"/>
      </right>
      <top/>
      <bottom/>
      <diagonal/>
    </border>
    <border>
      <left/>
      <right/>
      <top style="dotted">
        <color indexed="64"/>
      </top>
      <bottom/>
      <diagonal/>
    </border>
    <border>
      <left/>
      <right/>
      <top/>
      <bottom style="dotted">
        <color indexed="64"/>
      </bottom>
      <diagonal/>
    </border>
  </borders>
  <cellStyleXfs count="3">
    <xf numFmtId="0" fontId="0" fillId="0" borderId="0"/>
    <xf numFmtId="0" fontId="6" fillId="0" borderId="0"/>
    <xf numFmtId="0" fontId="6" fillId="0" borderId="0"/>
  </cellStyleXfs>
  <cellXfs count="178">
    <xf numFmtId="0" fontId="0" fillId="0" borderId="0" xfId="0"/>
    <xf numFmtId="0" fontId="2" fillId="0" borderId="0" xfId="0" applyFont="1" applyAlignment="1">
      <alignment horizontal="center"/>
    </xf>
    <xf numFmtId="0" fontId="1" fillId="0" borderId="0" xfId="0" applyFont="1" applyAlignment="1"/>
    <xf numFmtId="0" fontId="4" fillId="0" borderId="0" xfId="0" applyFont="1"/>
    <xf numFmtId="0" fontId="5" fillId="0" borderId="0" xfId="0" applyFont="1"/>
    <xf numFmtId="0" fontId="0" fillId="0" borderId="2" xfId="0" applyBorder="1" applyAlignment="1">
      <alignment horizontal="center" wrapText="1"/>
    </xf>
    <xf numFmtId="0" fontId="0" fillId="0" borderId="3" xfId="0" applyBorder="1" applyAlignment="1">
      <alignment horizontal="center"/>
    </xf>
    <xf numFmtId="0" fontId="0" fillId="0" borderId="2" xfId="0" applyBorder="1" applyAlignment="1">
      <alignment horizontal="center" vertical="top" wrapText="1"/>
    </xf>
    <xf numFmtId="0" fontId="0" fillId="0" borderId="3" xfId="0" applyBorder="1" applyAlignment="1">
      <alignment horizontal="center" vertical="top"/>
    </xf>
    <xf numFmtId="0" fontId="0" fillId="0" borderId="0" xfId="0" applyAlignment="1">
      <alignment horizontal="right"/>
    </xf>
    <xf numFmtId="0" fontId="0" fillId="0" borderId="6" xfId="0" applyBorder="1"/>
    <xf numFmtId="0" fontId="0" fillId="0" borderId="0" xfId="0" applyBorder="1" applyAlignment="1">
      <alignment horizontal="center"/>
    </xf>
    <xf numFmtId="0" fontId="0" fillId="0" borderId="0" xfId="0" applyBorder="1"/>
    <xf numFmtId="0" fontId="0" fillId="0" borderId="0" xfId="0" applyAlignment="1">
      <alignment horizontal="left" vertical="top" wrapText="1"/>
    </xf>
    <xf numFmtId="0" fontId="0" fillId="0" borderId="0" xfId="0" applyAlignment="1">
      <alignment horizontal="left" vertical="top"/>
    </xf>
    <xf numFmtId="0" fontId="0" fillId="0" borderId="1" xfId="0" applyBorder="1" applyAlignment="1">
      <alignment horizontal="center" vertical="top" wrapText="1"/>
    </xf>
    <xf numFmtId="0" fontId="3" fillId="0" borderId="1" xfId="0" applyFont="1" applyBorder="1" applyAlignment="1">
      <alignment horizontal="justify" vertical="top" wrapText="1"/>
    </xf>
    <xf numFmtId="0" fontId="7" fillId="0" borderId="0" xfId="1" applyFont="1"/>
    <xf numFmtId="1" fontId="7" fillId="0" borderId="0" xfId="1" applyNumberFormat="1" applyFont="1"/>
    <xf numFmtId="0" fontId="7" fillId="0" borderId="1" xfId="1" applyFont="1" applyBorder="1"/>
    <xf numFmtId="0" fontId="7" fillId="0" borderId="0" xfId="1" applyFont="1" applyBorder="1"/>
    <xf numFmtId="14" fontId="0" fillId="0" borderId="1" xfId="0" applyNumberFormat="1" applyBorder="1" applyAlignment="1">
      <alignment horizontal="right"/>
    </xf>
    <xf numFmtId="0" fontId="0" fillId="0" borderId="0" xfId="0" applyAlignment="1">
      <alignment horizontal="left"/>
    </xf>
    <xf numFmtId="0" fontId="0" fillId="2" borderId="0" xfId="0" applyFill="1"/>
    <xf numFmtId="0" fontId="8" fillId="0" borderId="0" xfId="0" applyFont="1"/>
    <xf numFmtId="0" fontId="9" fillId="0" borderId="0" xfId="0" applyFont="1"/>
    <xf numFmtId="164" fontId="0" fillId="0" borderId="1" xfId="0" applyNumberFormat="1" applyBorder="1" applyAlignment="1">
      <alignment horizontal="center" vertical="top" wrapText="1"/>
    </xf>
    <xf numFmtId="0" fontId="0" fillId="3" borderId="0" xfId="0" quotePrefix="1" applyFill="1"/>
    <xf numFmtId="49" fontId="0" fillId="2" borderId="0" xfId="0" quotePrefix="1" applyNumberFormat="1" applyFill="1"/>
    <xf numFmtId="0" fontId="0" fillId="0" borderId="0" xfId="0" quotePrefix="1"/>
    <xf numFmtId="0" fontId="13" fillId="0" borderId="0" xfId="0" applyFont="1" applyAlignment="1">
      <alignment horizontal="left" vertical="center"/>
    </xf>
    <xf numFmtId="0" fontId="14" fillId="0" borderId="0" xfId="0" applyFont="1" applyAlignment="1">
      <alignment horizontal="left" vertical="center"/>
    </xf>
    <xf numFmtId="0" fontId="14" fillId="0" borderId="0" xfId="0" applyFont="1" applyAlignment="1">
      <alignment vertical="top"/>
    </xf>
    <xf numFmtId="0" fontId="14" fillId="0" borderId="0" xfId="0" applyFont="1" applyAlignment="1">
      <alignment horizontal="left" vertical="top"/>
    </xf>
    <xf numFmtId="0" fontId="12" fillId="0" borderId="0" xfId="0" applyFont="1" applyAlignment="1">
      <alignment horizontal="left" vertical="center"/>
    </xf>
    <xf numFmtId="0" fontId="13" fillId="0" borderId="0" xfId="0" applyFont="1"/>
    <xf numFmtId="0" fontId="13" fillId="0" borderId="0" xfId="0" applyFont="1" applyAlignment="1">
      <alignment vertical="center"/>
    </xf>
    <xf numFmtId="0" fontId="13" fillId="0" borderId="11" xfId="0" applyFont="1" applyBorder="1" applyAlignment="1">
      <alignment vertical="center"/>
    </xf>
    <xf numFmtId="0" fontId="19" fillId="0" borderId="0" xfId="0" applyFont="1" applyAlignment="1">
      <alignment horizontal="left" vertical="center"/>
    </xf>
    <xf numFmtId="0" fontId="19" fillId="0" borderId="0" xfId="0" applyFont="1" applyAlignment="1">
      <alignment vertical="center"/>
    </xf>
    <xf numFmtId="0" fontId="13" fillId="0" borderId="6" xfId="0" applyFont="1" applyBorder="1" applyAlignment="1">
      <alignment vertical="center"/>
    </xf>
    <xf numFmtId="0" fontId="13" fillId="0" borderId="10" xfId="0" applyFont="1" applyBorder="1" applyAlignment="1">
      <alignment vertical="center"/>
    </xf>
    <xf numFmtId="0" fontId="13" fillId="0" borderId="7" xfId="0" applyFont="1" applyBorder="1" applyAlignment="1">
      <alignment vertical="center"/>
    </xf>
    <xf numFmtId="0" fontId="13" fillId="0" borderId="9" xfId="0" applyFont="1" applyBorder="1" applyAlignment="1">
      <alignment vertical="center"/>
    </xf>
    <xf numFmtId="0" fontId="13" fillId="0" borderId="8" xfId="0" applyFont="1" applyBorder="1" applyAlignment="1">
      <alignment vertical="center"/>
    </xf>
    <xf numFmtId="0" fontId="13" fillId="0" borderId="0" xfId="0" applyFont="1" applyBorder="1" applyAlignment="1">
      <alignment vertical="center"/>
    </xf>
    <xf numFmtId="0" fontId="13" fillId="0" borderId="0" xfId="0" applyFont="1" applyBorder="1" applyAlignment="1">
      <alignment horizontal="center" vertical="center"/>
    </xf>
    <xf numFmtId="0" fontId="21" fillId="0" borderId="11" xfId="0" applyFont="1" applyBorder="1" applyAlignment="1">
      <alignment vertical="center"/>
    </xf>
    <xf numFmtId="0" fontId="19" fillId="0" borderId="11" xfId="0" applyFont="1" applyBorder="1" applyAlignment="1">
      <alignment vertical="center"/>
    </xf>
    <xf numFmtId="0" fontId="0" fillId="0" borderId="11" xfId="0" applyBorder="1"/>
    <xf numFmtId="0" fontId="14" fillId="0" borderId="0" xfId="0" applyFont="1" applyAlignment="1">
      <alignment horizontal="left" vertical="center"/>
    </xf>
    <xf numFmtId="0" fontId="11" fillId="0" borderId="0" xfId="0" applyFont="1" applyAlignment="1">
      <alignment horizontal="left" vertical="center"/>
    </xf>
    <xf numFmtId="0" fontId="0" fillId="4" borderId="0" xfId="0" quotePrefix="1" applyFill="1"/>
    <xf numFmtId="0" fontId="0" fillId="0" borderId="0" xfId="0" applyAlignment="1">
      <alignment horizontal="center"/>
    </xf>
    <xf numFmtId="0" fontId="9" fillId="0" borderId="0" xfId="0" applyFont="1" applyAlignment="1">
      <alignment horizontal="left" vertical="top" wrapText="1"/>
    </xf>
    <xf numFmtId="0" fontId="1" fillId="0" borderId="0" xfId="0" applyFont="1" applyAlignment="1">
      <alignment horizontal="center"/>
    </xf>
    <xf numFmtId="0" fontId="0" fillId="0" borderId="0" xfId="0" applyAlignment="1">
      <alignment horizontal="left" vertical="top" wrapText="1"/>
    </xf>
    <xf numFmtId="0" fontId="10" fillId="0" borderId="1" xfId="0" applyFont="1" applyBorder="1" applyAlignment="1">
      <alignment vertical="center"/>
    </xf>
    <xf numFmtId="14" fontId="8" fillId="0" borderId="5" xfId="0" applyNumberFormat="1" applyFont="1" applyBorder="1" applyAlignment="1">
      <alignment vertical="center"/>
    </xf>
    <xf numFmtId="0" fontId="10" fillId="0" borderId="1" xfId="0" applyFont="1" applyBorder="1" applyAlignment="1">
      <alignment vertical="center" wrapText="1"/>
    </xf>
    <xf numFmtId="0" fontId="8" fillId="0" borderId="1" xfId="0" applyFont="1" applyBorder="1" applyAlignment="1">
      <alignment horizontal="left" vertical="center"/>
    </xf>
    <xf numFmtId="164" fontId="10" fillId="0" borderId="1" xfId="0" applyNumberFormat="1" applyFont="1" applyBorder="1" applyAlignment="1">
      <alignment horizontal="center" vertical="center"/>
    </xf>
    <xf numFmtId="14" fontId="8" fillId="0" borderId="4" xfId="0" applyNumberFormat="1" applyFont="1" applyBorder="1" applyAlignment="1">
      <alignment horizontal="left" vertical="center"/>
    </xf>
    <xf numFmtId="0" fontId="1" fillId="0" borderId="0" xfId="0" applyFont="1" applyBorder="1" applyAlignment="1">
      <alignment horizontal="center"/>
    </xf>
    <xf numFmtId="0" fontId="0" fillId="0" borderId="0" xfId="0" applyBorder="1" applyAlignment="1">
      <alignment horizontal="center" vertical="top" wrapText="1"/>
    </xf>
    <xf numFmtId="0" fontId="0" fillId="0" borderId="0" xfId="0" applyBorder="1" applyAlignment="1">
      <alignment horizontal="center" vertical="top"/>
    </xf>
    <xf numFmtId="164" fontId="0" fillId="0" borderId="0" xfId="0" applyNumberFormat="1" applyBorder="1" applyAlignment="1">
      <alignment horizontal="center" vertical="top" wrapText="1"/>
    </xf>
    <xf numFmtId="164" fontId="0" fillId="0" borderId="0" xfId="0" applyNumberFormat="1" applyBorder="1"/>
    <xf numFmtId="165" fontId="0" fillId="0" borderId="1" xfId="0" applyNumberFormat="1" applyBorder="1" applyAlignment="1">
      <alignment horizontal="center" vertical="top" wrapText="1"/>
    </xf>
    <xf numFmtId="165" fontId="0" fillId="0" borderId="1" xfId="0" applyNumberFormat="1" applyBorder="1"/>
    <xf numFmtId="0" fontId="13" fillId="0" borderId="0" xfId="0" applyFont="1" applyAlignment="1">
      <alignment horizontal="left" vertical="center"/>
    </xf>
    <xf numFmtId="0" fontId="0" fillId="0" borderId="14" xfId="0" applyBorder="1"/>
    <xf numFmtId="0" fontId="0" fillId="0" borderId="15" xfId="0" applyBorder="1"/>
    <xf numFmtId="0" fontId="24" fillId="0" borderId="0" xfId="0" applyFont="1" applyAlignment="1">
      <alignment horizontal="left"/>
    </xf>
    <xf numFmtId="0" fontId="24" fillId="0" borderId="0" xfId="0" applyFont="1" applyBorder="1" applyAlignment="1">
      <alignment horizontal="left"/>
    </xf>
    <xf numFmtId="14" fontId="24" fillId="0" borderId="0" xfId="0" applyNumberFormat="1" applyFont="1" applyBorder="1" applyAlignment="1">
      <alignment horizontal="left"/>
    </xf>
    <xf numFmtId="0" fontId="24" fillId="0" borderId="0" xfId="0" applyFont="1"/>
    <xf numFmtId="0" fontId="24" fillId="0" borderId="0" xfId="0" applyFont="1" applyAlignment="1">
      <alignment horizontal="right"/>
    </xf>
    <xf numFmtId="0" fontId="24" fillId="0" borderId="6" xfId="0" applyNumberFormat="1" applyFont="1" applyBorder="1" applyAlignment="1">
      <alignment horizontal="center"/>
    </xf>
    <xf numFmtId="0" fontId="24" fillId="0" borderId="6" xfId="0" applyFont="1" applyBorder="1" applyAlignment="1">
      <alignment horizontal="center"/>
    </xf>
    <xf numFmtId="14" fontId="24" fillId="0" borderId="6" xfId="0" applyNumberFormat="1" applyFont="1" applyBorder="1" applyAlignment="1">
      <alignment horizontal="center" vertical="top"/>
    </xf>
    <xf numFmtId="14" fontId="24" fillId="0" borderId="6" xfId="0" applyNumberFormat="1" applyFont="1" applyBorder="1"/>
    <xf numFmtId="165" fontId="24" fillId="0" borderId="1" xfId="0" applyNumberFormat="1" applyFont="1" applyBorder="1"/>
    <xf numFmtId="0" fontId="0" fillId="5" borderId="0" xfId="0" applyFill="1" applyAlignment="1">
      <alignment vertical="top"/>
    </xf>
    <xf numFmtId="0" fontId="0" fillId="0" borderId="0" xfId="0" quotePrefix="1" applyAlignment="1">
      <alignment vertical="top"/>
    </xf>
    <xf numFmtId="0" fontId="30" fillId="0" borderId="0" xfId="0" applyFont="1" applyAlignment="1">
      <alignment horizontal="center" vertical="center" wrapText="1"/>
    </xf>
    <xf numFmtId="0" fontId="0" fillId="0" borderId="0" xfId="0" applyAlignment="1">
      <alignment wrapText="1"/>
    </xf>
    <xf numFmtId="0" fontId="0" fillId="0" borderId="0" xfId="0" applyAlignment="1">
      <alignment horizontal="center" vertical="center" wrapText="1"/>
    </xf>
    <xf numFmtId="0" fontId="0" fillId="0" borderId="0" xfId="0" applyAlignment="1">
      <alignment vertical="center"/>
    </xf>
    <xf numFmtId="0" fontId="0" fillId="0" borderId="0" xfId="0" applyFill="1" applyAlignment="1">
      <alignment vertical="center"/>
    </xf>
    <xf numFmtId="0" fontId="0" fillId="0" borderId="0" xfId="0" applyAlignment="1">
      <alignment vertical="center" wrapText="1"/>
    </xf>
    <xf numFmtId="0" fontId="0" fillId="0" borderId="0" xfId="0" applyFont="1" applyAlignment="1">
      <alignment vertical="center" wrapText="1"/>
    </xf>
    <xf numFmtId="0" fontId="8" fillId="0" borderId="5" xfId="0" applyFont="1" applyBorder="1" applyAlignment="1">
      <alignment horizontal="left" vertical="center"/>
    </xf>
    <xf numFmtId="0" fontId="0" fillId="0" borderId="0" xfId="0" applyAlignment="1">
      <alignment horizontal="center"/>
    </xf>
    <xf numFmtId="0" fontId="0" fillId="0" borderId="0" xfId="0" applyAlignment="1">
      <alignment horizontal="left" vertical="top" wrapText="1"/>
    </xf>
    <xf numFmtId="0" fontId="0" fillId="0" borderId="1" xfId="0" applyBorder="1" applyAlignment="1">
      <alignment horizontal="center" vertical="top" wrapText="1"/>
    </xf>
    <xf numFmtId="0" fontId="0" fillId="0" borderId="0" xfId="0" applyAlignment="1">
      <alignment horizontal="left" vertical="top"/>
    </xf>
    <xf numFmtId="0" fontId="0" fillId="0" borderId="0" xfId="0" applyFill="1"/>
    <xf numFmtId="165" fontId="10" fillId="0" borderId="1" xfId="0" applyNumberFormat="1" applyFont="1" applyBorder="1" applyAlignment="1">
      <alignment horizontal="center" vertical="center"/>
    </xf>
    <xf numFmtId="0" fontId="24" fillId="0" borderId="2" xfId="0" applyFont="1" applyBorder="1" applyAlignment="1">
      <alignment horizontal="center" vertical="center" wrapText="1"/>
    </xf>
    <xf numFmtId="0" fontId="24" fillId="0" borderId="3" xfId="0" applyFont="1" applyBorder="1" applyAlignment="1">
      <alignment horizontal="center" vertical="center"/>
    </xf>
    <xf numFmtId="0" fontId="0" fillId="0" borderId="0" xfId="0" applyNumberFormat="1"/>
    <xf numFmtId="166" fontId="0" fillId="0" borderId="0" xfId="0" quotePrefix="1" applyNumberFormat="1"/>
    <xf numFmtId="0" fontId="0" fillId="0" borderId="0" xfId="0" applyAlignment="1">
      <alignment horizontal="center" vertical="center" wrapText="1"/>
    </xf>
    <xf numFmtId="0" fontId="0" fillId="0" borderId="0" xfId="0" applyAlignment="1">
      <alignment horizontal="center"/>
    </xf>
    <xf numFmtId="0" fontId="8" fillId="0" borderId="0" xfId="0" applyFont="1" applyAlignment="1">
      <alignment horizontal="center" vertical="center"/>
    </xf>
    <xf numFmtId="0" fontId="9" fillId="0" borderId="0" xfId="0" applyFont="1" applyAlignment="1">
      <alignment horizontal="left" vertical="top" wrapText="1"/>
    </xf>
    <xf numFmtId="0" fontId="22" fillId="0" borderId="0" xfId="0" applyFont="1" applyAlignment="1">
      <alignment horizontal="left" vertical="top" wrapText="1"/>
    </xf>
    <xf numFmtId="0" fontId="8" fillId="0" borderId="4" xfId="0" applyFont="1" applyBorder="1" applyAlignment="1">
      <alignment horizontal="left" vertical="center"/>
    </xf>
    <xf numFmtId="0" fontId="8" fillId="0" borderId="5" xfId="0" applyFont="1" applyBorder="1" applyAlignment="1">
      <alignment horizontal="left" vertical="center"/>
    </xf>
    <xf numFmtId="0" fontId="10" fillId="0" borderId="4" xfId="0" applyFont="1" applyBorder="1" applyAlignment="1">
      <alignment horizontal="left" vertical="center" wrapText="1"/>
    </xf>
    <xf numFmtId="0" fontId="10" fillId="0" borderId="5" xfId="0" applyFont="1" applyBorder="1" applyAlignment="1">
      <alignment horizontal="left" vertical="center" wrapText="1"/>
    </xf>
    <xf numFmtId="0" fontId="10" fillId="0" borderId="4" xfId="0" applyFont="1" applyBorder="1" applyAlignment="1">
      <alignment horizontal="left" vertical="center"/>
    </xf>
    <xf numFmtId="0" fontId="10" fillId="0" borderId="5" xfId="0" applyFont="1" applyBorder="1" applyAlignment="1">
      <alignment horizontal="left" vertical="center"/>
    </xf>
    <xf numFmtId="0" fontId="1" fillId="0" borderId="7" xfId="0" applyFont="1" applyBorder="1" applyAlignment="1">
      <alignment horizontal="center"/>
    </xf>
    <xf numFmtId="0" fontId="1" fillId="0" borderId="0" xfId="0" applyFont="1" applyAlignment="1">
      <alignment horizontal="center"/>
    </xf>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6" xfId="0" applyFont="1" applyBorder="1" applyAlignment="1">
      <alignment horizontal="center"/>
    </xf>
    <xf numFmtId="0" fontId="0" fillId="0" borderId="1" xfId="0" applyBorder="1" applyAlignment="1">
      <alignment horizontal="center"/>
    </xf>
    <xf numFmtId="0" fontId="3" fillId="0" borderId="1" xfId="0" applyFont="1" applyBorder="1" applyAlignment="1">
      <alignment horizontal="left" vertical="top" wrapText="1"/>
    </xf>
    <xf numFmtId="3" fontId="25" fillId="0" borderId="4" xfId="0" applyNumberFormat="1" applyFont="1" applyBorder="1" applyAlignment="1">
      <alignment horizontal="center" vertical="center"/>
    </xf>
    <xf numFmtId="3" fontId="25" fillId="0" borderId="5" xfId="0" applyNumberFormat="1" applyFont="1" applyBorder="1" applyAlignment="1">
      <alignment horizontal="center" vertical="center"/>
    </xf>
    <xf numFmtId="0" fontId="24" fillId="0" borderId="0" xfId="0" applyFont="1" applyAlignment="1">
      <alignment horizontal="center"/>
    </xf>
    <xf numFmtId="0" fontId="0" fillId="0" borderId="0" xfId="0" applyFont="1" applyAlignment="1">
      <alignment horizontal="left" vertical="center" wrapText="1"/>
    </xf>
    <xf numFmtId="0" fontId="24" fillId="0" borderId="0" xfId="0" applyFont="1" applyAlignment="1">
      <alignment horizontal="left" vertical="center" wrapText="1"/>
    </xf>
    <xf numFmtId="0" fontId="1" fillId="0" borderId="0" xfId="0" applyFont="1" applyAlignment="1">
      <alignment horizontal="center" wrapText="1"/>
    </xf>
    <xf numFmtId="0" fontId="0" fillId="0" borderId="0" xfId="0" applyAlignment="1">
      <alignment horizontal="left" vertical="top" wrapText="1"/>
    </xf>
    <xf numFmtId="0" fontId="24" fillId="0" borderId="1" xfId="0" applyFont="1" applyBorder="1" applyAlignment="1">
      <alignment horizontal="left"/>
    </xf>
    <xf numFmtId="0" fontId="24" fillId="0" borderId="1" xfId="0" applyFont="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center" vertical="top" wrapText="1"/>
    </xf>
    <xf numFmtId="0" fontId="0" fillId="0" borderId="1" xfId="0" applyBorder="1" applyAlignment="1">
      <alignment horizontal="left"/>
    </xf>
    <xf numFmtId="0" fontId="13" fillId="0" borderId="0" xfId="0" applyFont="1" applyAlignment="1">
      <alignment horizontal="left" vertical="center"/>
    </xf>
    <xf numFmtId="0" fontId="4" fillId="0" borderId="0" xfId="0" applyFont="1" applyAlignment="1">
      <alignment horizontal="left" vertical="top"/>
    </xf>
    <xf numFmtId="0" fontId="12" fillId="0" borderId="0" xfId="0" applyFont="1" applyAlignment="1">
      <alignment horizontal="left" vertical="center"/>
    </xf>
    <xf numFmtId="0" fontId="14" fillId="0" borderId="0" xfId="0" applyFont="1" applyAlignment="1">
      <alignment horizontal="left" vertical="center"/>
    </xf>
    <xf numFmtId="0" fontId="14" fillId="0" borderId="0" xfId="0" applyFont="1" applyAlignment="1">
      <alignment horizontal="left" vertical="top" wrapText="1"/>
    </xf>
    <xf numFmtId="0" fontId="14" fillId="0" borderId="0" xfId="0" applyFont="1" applyAlignment="1">
      <alignment horizontal="left" vertical="top"/>
    </xf>
    <xf numFmtId="0" fontId="12" fillId="0" borderId="0" xfId="0" applyFont="1" applyAlignment="1" applyProtection="1">
      <alignment horizontal="left" vertical="center"/>
      <protection locked="0"/>
    </xf>
    <xf numFmtId="0" fontId="14" fillId="0" borderId="0" xfId="0" applyFont="1" applyAlignment="1" applyProtection="1">
      <alignment horizontal="left" vertical="top" wrapText="1"/>
      <protection locked="0"/>
    </xf>
    <xf numFmtId="0" fontId="14" fillId="0" borderId="0" xfId="0" applyFont="1" applyAlignment="1" applyProtection="1">
      <alignment horizontal="left" vertical="top"/>
      <protection locked="0"/>
    </xf>
    <xf numFmtId="0" fontId="0" fillId="0" borderId="0" xfId="0" applyAlignment="1">
      <alignment horizontal="left" vertical="top"/>
    </xf>
    <xf numFmtId="0" fontId="13" fillId="0" borderId="0" xfId="0" applyFont="1" applyAlignment="1" applyProtection="1">
      <alignment horizontal="left" vertical="center"/>
      <protection locked="0"/>
    </xf>
    <xf numFmtId="0" fontId="16" fillId="0" borderId="0" xfId="0" applyFont="1" applyAlignment="1">
      <alignment horizontal="center" vertical="center"/>
    </xf>
    <xf numFmtId="0" fontId="13" fillId="0" borderId="0" xfId="0" applyFont="1" applyAlignment="1">
      <alignment horizontal="center" vertical="center"/>
    </xf>
    <xf numFmtId="0" fontId="13" fillId="0" borderId="11" xfId="0" applyFont="1" applyBorder="1" applyAlignment="1">
      <alignment horizontal="right" vertical="center"/>
    </xf>
    <xf numFmtId="0" fontId="13" fillId="0" borderId="0" xfId="0" applyFont="1" applyAlignment="1">
      <alignment horizontal="right" vertical="center"/>
    </xf>
    <xf numFmtId="0" fontId="20" fillId="0" borderId="6" xfId="0" applyFont="1" applyBorder="1" applyAlignment="1">
      <alignment horizontal="left" vertical="center"/>
    </xf>
    <xf numFmtId="0" fontId="13" fillId="0" borderId="12" xfId="0" applyFont="1" applyBorder="1" applyAlignment="1">
      <alignment horizontal="left" vertical="center"/>
    </xf>
    <xf numFmtId="0" fontId="13" fillId="0" borderId="0" xfId="0" applyFont="1" applyBorder="1" applyAlignment="1">
      <alignment horizontal="right" vertical="center"/>
    </xf>
    <xf numFmtId="0" fontId="20" fillId="0" borderId="12" xfId="0" applyFont="1" applyBorder="1" applyAlignment="1">
      <alignment horizontal="left" vertical="center"/>
    </xf>
    <xf numFmtId="0" fontId="18" fillId="0" borderId="0" xfId="0" applyFont="1" applyAlignment="1">
      <alignment horizontal="left" vertical="center"/>
    </xf>
    <xf numFmtId="0" fontId="18" fillId="0" borderId="0" xfId="0" applyFont="1" applyAlignment="1">
      <alignment horizontal="right" vertical="center"/>
    </xf>
    <xf numFmtId="0" fontId="13" fillId="0" borderId="10" xfId="0" applyFont="1" applyBorder="1" applyAlignment="1">
      <alignment horizontal="center" vertical="center"/>
    </xf>
    <xf numFmtId="0" fontId="13" fillId="0" borderId="6" xfId="0" applyFont="1" applyBorder="1" applyAlignment="1">
      <alignment horizontal="center" vertical="center"/>
    </xf>
    <xf numFmtId="0" fontId="20" fillId="0" borderId="0" xfId="0" applyFont="1" applyAlignment="1">
      <alignment horizontal="left" vertical="center"/>
    </xf>
    <xf numFmtId="0" fontId="16" fillId="0" borderId="0" xfId="0" applyFont="1" applyAlignment="1">
      <alignment horizontal="left" vertical="center"/>
    </xf>
    <xf numFmtId="0" fontId="21" fillId="0" borderId="8" xfId="0" applyFont="1" applyBorder="1" applyAlignment="1">
      <alignment horizontal="center" vertical="center"/>
    </xf>
    <xf numFmtId="0" fontId="21" fillId="0" borderId="7" xfId="0" applyFont="1" applyBorder="1" applyAlignment="1">
      <alignment horizontal="center" vertical="center"/>
    </xf>
    <xf numFmtId="0" fontId="13" fillId="0" borderId="7" xfId="0" applyFont="1" applyBorder="1" applyAlignment="1">
      <alignment horizontal="center" vertical="center"/>
    </xf>
    <xf numFmtId="0" fontId="13" fillId="0" borderId="11" xfId="0" applyFont="1" applyBorder="1" applyAlignment="1">
      <alignment horizontal="left" vertical="center"/>
    </xf>
    <xf numFmtId="0" fontId="13" fillId="0" borderId="0" xfId="0" applyFont="1" applyBorder="1" applyAlignment="1">
      <alignment horizontal="left" vertical="center"/>
    </xf>
    <xf numFmtId="0" fontId="13" fillId="0" borderId="13" xfId="0" applyFont="1" applyBorder="1" applyAlignment="1">
      <alignment horizontal="left" vertical="center"/>
    </xf>
    <xf numFmtId="0" fontId="13" fillId="0" borderId="11" xfId="0" applyFont="1" applyBorder="1" applyAlignment="1">
      <alignment horizontal="left"/>
    </xf>
    <xf numFmtId="0" fontId="13" fillId="0" borderId="0" xfId="0" applyFont="1" applyBorder="1" applyAlignment="1">
      <alignment horizontal="left"/>
    </xf>
    <xf numFmtId="0" fontId="21" fillId="0" borderId="0" xfId="0" applyFont="1" applyAlignment="1">
      <alignment horizontal="center" vertical="top"/>
    </xf>
    <xf numFmtId="0" fontId="21" fillId="0" borderId="0" xfId="0" applyFont="1" applyAlignment="1">
      <alignment horizontal="center" vertical="center"/>
    </xf>
    <xf numFmtId="0" fontId="15" fillId="0" borderId="0" xfId="0" applyFont="1" applyAlignment="1">
      <alignment horizontal="center" vertical="center"/>
    </xf>
    <xf numFmtId="0" fontId="31" fillId="0" borderId="0" xfId="0" applyFont="1" applyAlignment="1">
      <alignment horizontal="left" vertical="center"/>
    </xf>
    <xf numFmtId="0" fontId="0" fillId="0" borderId="0" xfId="0" applyAlignment="1">
      <alignment horizontal="left" vertical="center"/>
    </xf>
    <xf numFmtId="0" fontId="32" fillId="0" borderId="0" xfId="0" applyFont="1" applyAlignment="1">
      <alignment horizontal="left" vertical="top" wrapText="1"/>
    </xf>
    <xf numFmtId="0" fontId="28" fillId="0" borderId="0" xfId="0" applyFont="1" applyAlignment="1">
      <alignment horizontal="left" vertical="center"/>
    </xf>
    <xf numFmtId="0" fontId="26" fillId="0" borderId="0" xfId="0" applyFont="1" applyAlignment="1">
      <alignment horizontal="left" vertical="center"/>
    </xf>
    <xf numFmtId="0" fontId="4" fillId="0" borderId="0" xfId="0" applyFont="1" applyAlignment="1">
      <alignment horizontal="left" vertical="center"/>
    </xf>
    <xf numFmtId="0" fontId="27" fillId="0" borderId="0" xfId="0" applyFont="1" applyAlignment="1">
      <alignment horizontal="left" vertical="center"/>
    </xf>
    <xf numFmtId="0" fontId="4" fillId="0" borderId="0" xfId="0" quotePrefix="1" applyFont="1" applyAlignment="1">
      <alignment horizontal="left" vertical="center"/>
    </xf>
    <xf numFmtId="0" fontId="29" fillId="0" borderId="6" xfId="0" applyFont="1" applyBorder="1" applyAlignment="1">
      <alignment horizontal="left" vertical="center"/>
    </xf>
  </cellXfs>
  <cellStyles count="3">
    <cellStyle name="Обычный" xfId="0" builtinId="0"/>
    <cellStyle name="Обычный 2" xfId="1" xr:uid="{00000000-0005-0000-0000-000001000000}"/>
    <cellStyle name="Обычный 3"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180977</xdr:colOff>
      <xdr:row>0</xdr:row>
      <xdr:rowOff>76200</xdr:rowOff>
    </xdr:from>
    <xdr:to>
      <xdr:col>7</xdr:col>
      <xdr:colOff>1</xdr:colOff>
      <xdr:row>2</xdr:row>
      <xdr:rowOff>123825</xdr:rowOff>
    </xdr:to>
    <xdr:sp macro="" textlink="">
      <xdr:nvSpPr>
        <xdr:cNvPr id="3" name="WordArt 1">
          <a:extLst>
            <a:ext uri="{FF2B5EF4-FFF2-40B4-BE49-F238E27FC236}">
              <a16:creationId xmlns:a16="http://schemas.microsoft.com/office/drawing/2014/main" id="{00000000-0008-0000-0200-000003000000}"/>
            </a:ext>
          </a:extLst>
        </xdr:cNvPr>
        <xdr:cNvSpPr>
          <a:spLocks noChangeArrowheads="1" noChangeShapeType="1" noTextEdit="1"/>
        </xdr:cNvSpPr>
      </xdr:nvSpPr>
      <xdr:spPr bwMode="auto">
        <a:xfrm>
          <a:off x="180977" y="76200"/>
          <a:ext cx="5353049" cy="428625"/>
        </a:xfrm>
        <a:prstGeom prst="rect">
          <a:avLst/>
        </a:prstGeom>
      </xdr:spPr>
      <xdr:txBody>
        <a:bodyPr wrap="none" fromWordArt="1">
          <a:prstTxWarp prst="textPlain">
            <a:avLst>
              <a:gd name="adj" fmla="val 47120"/>
            </a:avLst>
          </a:prstTxWarp>
        </a:bodyPr>
        <a:lstStyle/>
        <a:p>
          <a:pPr algn="ctr" rtl="0"/>
          <a:r>
            <a:rPr lang="ru-RU" sz="3600" kern="10" spc="720">
              <a:ln w="9525">
                <a:noFill/>
                <a:round/>
                <a:headEnd/>
                <a:tailEnd/>
              </a:ln>
              <a:solidFill>
                <a:srgbClr val="808080"/>
              </a:solidFill>
              <a:effectLst>
                <a:outerShdw dist="45791" dir="3378596" algn="ctr" rotWithShape="0">
                  <a:srgbClr val="4D4D4D"/>
                </a:outerShdw>
              </a:effectLst>
              <a:latin typeface="Arial"/>
              <a:cs typeface="Arial"/>
            </a:rPr>
            <a:t>СООО "КамелиТурКомпани"</a:t>
          </a:r>
        </a:p>
      </xdr:txBody>
    </xdr:sp>
    <xdr:clientData/>
  </xdr:twoCellAnchor>
  <xdr:twoCellAnchor>
    <xdr:from>
      <xdr:col>1</xdr:col>
      <xdr:colOff>180977</xdr:colOff>
      <xdr:row>25</xdr:row>
      <xdr:rowOff>142875</xdr:rowOff>
    </xdr:from>
    <xdr:to>
      <xdr:col>6</xdr:col>
      <xdr:colOff>1181101</xdr:colOff>
      <xdr:row>28</xdr:row>
      <xdr:rowOff>0</xdr:rowOff>
    </xdr:to>
    <xdr:sp macro="" textlink="">
      <xdr:nvSpPr>
        <xdr:cNvPr id="4" name="WordArt 1">
          <a:extLst>
            <a:ext uri="{FF2B5EF4-FFF2-40B4-BE49-F238E27FC236}">
              <a16:creationId xmlns:a16="http://schemas.microsoft.com/office/drawing/2014/main" id="{00000000-0008-0000-0200-000004000000}"/>
            </a:ext>
          </a:extLst>
        </xdr:cNvPr>
        <xdr:cNvSpPr>
          <a:spLocks noChangeArrowheads="1" noChangeShapeType="1" noTextEdit="1"/>
        </xdr:cNvSpPr>
      </xdr:nvSpPr>
      <xdr:spPr bwMode="auto">
        <a:xfrm>
          <a:off x="180977" y="142875"/>
          <a:ext cx="5791199" cy="428625"/>
        </a:xfrm>
        <a:prstGeom prst="rect">
          <a:avLst/>
        </a:prstGeom>
      </xdr:spPr>
      <xdr:txBody>
        <a:bodyPr wrap="none" fromWordArt="1">
          <a:prstTxWarp prst="textPlain">
            <a:avLst>
              <a:gd name="adj" fmla="val 47120"/>
            </a:avLst>
          </a:prstTxWarp>
        </a:bodyPr>
        <a:lstStyle/>
        <a:p>
          <a:pPr algn="ctr" rtl="0"/>
          <a:r>
            <a:rPr lang="ru-RU" sz="3600" kern="10" spc="720">
              <a:ln w="9525">
                <a:noFill/>
                <a:round/>
                <a:headEnd/>
                <a:tailEnd/>
              </a:ln>
              <a:solidFill>
                <a:srgbClr val="808080"/>
              </a:solidFill>
              <a:effectLst>
                <a:outerShdw dist="45791" dir="3378596" algn="ctr" rotWithShape="0">
                  <a:srgbClr val="4D4D4D"/>
                </a:outerShdw>
              </a:effectLst>
              <a:latin typeface="Arial"/>
              <a:cs typeface="Arial"/>
            </a:rPr>
            <a:t>СООО "КамелиТурКомпани"</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47627</xdr:colOff>
      <xdr:row>0</xdr:row>
      <xdr:rowOff>104775</xdr:rowOff>
    </xdr:from>
    <xdr:to>
      <xdr:col>6</xdr:col>
      <xdr:colOff>819151</xdr:colOff>
      <xdr:row>2</xdr:row>
      <xdr:rowOff>152400</xdr:rowOff>
    </xdr:to>
    <xdr:sp macro="" textlink="">
      <xdr:nvSpPr>
        <xdr:cNvPr id="1025" name="WordArt 1">
          <a:extLst>
            <a:ext uri="{FF2B5EF4-FFF2-40B4-BE49-F238E27FC236}">
              <a16:creationId xmlns:a16="http://schemas.microsoft.com/office/drawing/2014/main" id="{00000000-0008-0000-0300-000001040000}"/>
            </a:ext>
          </a:extLst>
        </xdr:cNvPr>
        <xdr:cNvSpPr>
          <a:spLocks noChangeArrowheads="1" noChangeShapeType="1" noTextEdit="1"/>
        </xdr:cNvSpPr>
      </xdr:nvSpPr>
      <xdr:spPr bwMode="auto">
        <a:xfrm>
          <a:off x="47627" y="104775"/>
          <a:ext cx="5791199" cy="428625"/>
        </a:xfrm>
        <a:prstGeom prst="rect">
          <a:avLst/>
        </a:prstGeom>
      </xdr:spPr>
      <xdr:txBody>
        <a:bodyPr wrap="none" fromWordArt="1">
          <a:prstTxWarp prst="textPlain">
            <a:avLst>
              <a:gd name="adj" fmla="val 47120"/>
            </a:avLst>
          </a:prstTxWarp>
        </a:bodyPr>
        <a:lstStyle/>
        <a:p>
          <a:pPr algn="ctr" rtl="0"/>
          <a:r>
            <a:rPr lang="ru-RU" sz="3600" kern="10" spc="720">
              <a:ln w="9525">
                <a:noFill/>
                <a:round/>
                <a:headEnd/>
                <a:tailEnd/>
              </a:ln>
              <a:solidFill>
                <a:srgbClr val="808080"/>
              </a:solidFill>
              <a:effectLst>
                <a:outerShdw dist="45791" dir="3378596" algn="ctr" rotWithShape="0">
                  <a:srgbClr val="4D4D4D"/>
                </a:outerShdw>
              </a:effectLst>
              <a:latin typeface="Arial"/>
              <a:cs typeface="Arial"/>
            </a:rPr>
            <a:t>СООО "КамелиТурКомпани"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180977</xdr:colOff>
      <xdr:row>0</xdr:row>
      <xdr:rowOff>142875</xdr:rowOff>
    </xdr:from>
    <xdr:to>
      <xdr:col>7</xdr:col>
      <xdr:colOff>1</xdr:colOff>
      <xdr:row>3</xdr:row>
      <xdr:rowOff>0</xdr:rowOff>
    </xdr:to>
    <xdr:sp macro="" textlink="">
      <xdr:nvSpPr>
        <xdr:cNvPr id="2" name="WordArt 1">
          <a:extLst>
            <a:ext uri="{FF2B5EF4-FFF2-40B4-BE49-F238E27FC236}">
              <a16:creationId xmlns:a16="http://schemas.microsoft.com/office/drawing/2014/main" id="{00000000-0008-0000-0400-000002000000}"/>
            </a:ext>
          </a:extLst>
        </xdr:cNvPr>
        <xdr:cNvSpPr>
          <a:spLocks noChangeArrowheads="1" noChangeShapeType="1" noTextEdit="1"/>
        </xdr:cNvSpPr>
      </xdr:nvSpPr>
      <xdr:spPr bwMode="auto">
        <a:xfrm>
          <a:off x="180977" y="142875"/>
          <a:ext cx="5791199" cy="428625"/>
        </a:xfrm>
        <a:prstGeom prst="rect">
          <a:avLst/>
        </a:prstGeom>
      </xdr:spPr>
      <xdr:txBody>
        <a:bodyPr wrap="none" fromWordArt="1">
          <a:prstTxWarp prst="textPlain">
            <a:avLst>
              <a:gd name="adj" fmla="val 47120"/>
            </a:avLst>
          </a:prstTxWarp>
        </a:bodyPr>
        <a:lstStyle/>
        <a:p>
          <a:pPr algn="ctr" rtl="0"/>
          <a:r>
            <a:rPr lang="ru-RU" sz="3600" kern="10" spc="720">
              <a:ln w="9525">
                <a:noFill/>
                <a:round/>
                <a:headEnd/>
                <a:tailEnd/>
              </a:ln>
              <a:solidFill>
                <a:srgbClr val="808080"/>
              </a:solidFill>
              <a:effectLst>
                <a:outerShdw dist="45791" dir="3378596" algn="ctr" rotWithShape="0">
                  <a:srgbClr val="4D4D4D"/>
                </a:outerShdw>
              </a:effectLst>
              <a:latin typeface="Arial"/>
              <a:cs typeface="Arial"/>
            </a:rPr>
            <a:t>СООО "КамелиТурКомпани"</a:t>
          </a:r>
        </a:p>
      </xdr:txBody>
    </xdr:sp>
    <xdr:clientData/>
  </xdr:twoCellAnchor>
  <xdr:twoCellAnchor editAs="oneCell">
    <xdr:from>
      <xdr:col>9</xdr:col>
      <xdr:colOff>323851</xdr:colOff>
      <xdr:row>26</xdr:row>
      <xdr:rowOff>133350</xdr:rowOff>
    </xdr:from>
    <xdr:to>
      <xdr:col>10</xdr:col>
      <xdr:colOff>1137670</xdr:colOff>
      <xdr:row>34</xdr:row>
      <xdr:rowOff>23625</xdr:rowOff>
    </xdr:to>
    <xdr:pic>
      <xdr:nvPicPr>
        <xdr:cNvPr id="3" name="Рисунок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253735">
          <a:off x="7172326" y="7781925"/>
          <a:ext cx="1423419" cy="1414275"/>
        </a:xfrm>
        <a:prstGeom prst="rect">
          <a:avLst/>
        </a:prstGeom>
      </xdr:spPr>
    </xdr:pic>
    <xdr:clientData/>
  </xdr:twoCellAnchor>
  <xdr:twoCellAnchor editAs="oneCell">
    <xdr:from>
      <xdr:col>8</xdr:col>
      <xdr:colOff>419100</xdr:colOff>
      <xdr:row>28</xdr:row>
      <xdr:rowOff>190499</xdr:rowOff>
    </xdr:from>
    <xdr:to>
      <xdr:col>10</xdr:col>
      <xdr:colOff>218209</xdr:colOff>
      <xdr:row>32</xdr:row>
      <xdr:rowOff>38099</xdr:rowOff>
    </xdr:to>
    <xdr:pic>
      <xdr:nvPicPr>
        <xdr:cNvPr id="4" name="Рисунок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57975" y="8220074"/>
          <a:ext cx="1018309" cy="6096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19050</xdr:colOff>
      <xdr:row>19</xdr:row>
      <xdr:rowOff>152400</xdr:rowOff>
    </xdr:from>
    <xdr:to>
      <xdr:col>11</xdr:col>
      <xdr:colOff>228600</xdr:colOff>
      <xdr:row>34</xdr:row>
      <xdr:rowOff>0</xdr:rowOff>
    </xdr:to>
    <xdr:pic>
      <xdr:nvPicPr>
        <xdr:cNvPr id="2" name="Рисунок 1" descr="belarus2">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00050" y="2943225"/>
          <a:ext cx="4019550" cy="2695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12</xdr:col>
      <xdr:colOff>38100</xdr:colOff>
      <xdr:row>0</xdr:row>
      <xdr:rowOff>104775</xdr:rowOff>
    </xdr:from>
    <xdr:to>
      <xdr:col>14</xdr:col>
      <xdr:colOff>333375</xdr:colOff>
      <xdr:row>3</xdr:row>
      <xdr:rowOff>238125</xdr:rowOff>
    </xdr:to>
    <xdr:pic>
      <xdr:nvPicPr>
        <xdr:cNvPr id="3" name="Рисунок 2" descr="02">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610100" y="104775"/>
          <a:ext cx="1057275"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314325</xdr:colOff>
      <xdr:row>78</xdr:row>
      <xdr:rowOff>0</xdr:rowOff>
    </xdr:from>
    <xdr:to>
      <xdr:col>13</xdr:col>
      <xdr:colOff>361950</xdr:colOff>
      <xdr:row>80</xdr:row>
      <xdr:rowOff>176243</xdr:rowOff>
    </xdr:to>
    <xdr:pic>
      <xdr:nvPicPr>
        <xdr:cNvPr id="4" name="Рисунок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57325" y="15587409"/>
          <a:ext cx="1571625" cy="557243"/>
        </a:xfrm>
        <a:prstGeom prst="rect">
          <a:avLst/>
        </a:prstGeom>
      </xdr:spPr>
    </xdr:pic>
    <xdr:clientData/>
  </xdr:twoCellAnchor>
  <xdr:twoCellAnchor>
    <xdr:from>
      <xdr:col>21</xdr:col>
      <xdr:colOff>133350</xdr:colOff>
      <xdr:row>92</xdr:row>
      <xdr:rowOff>28575</xdr:rowOff>
    </xdr:from>
    <xdr:to>
      <xdr:col>22</xdr:col>
      <xdr:colOff>257175</xdr:colOff>
      <xdr:row>94</xdr:row>
      <xdr:rowOff>57150</xdr:rowOff>
    </xdr:to>
    <xdr:sp macro="" textlink="">
      <xdr:nvSpPr>
        <xdr:cNvPr id="5" name="Прямоугольник 4">
          <a:extLst>
            <a:ext uri="{FF2B5EF4-FFF2-40B4-BE49-F238E27FC236}">
              <a16:creationId xmlns:a16="http://schemas.microsoft.com/office/drawing/2014/main" id="{00000000-0008-0000-0500-000005000000}"/>
            </a:ext>
          </a:extLst>
        </xdr:cNvPr>
        <xdr:cNvSpPr/>
      </xdr:nvSpPr>
      <xdr:spPr>
        <a:xfrm>
          <a:off x="5848350" y="18211800"/>
          <a:ext cx="5048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xdr:col>
      <xdr:colOff>323850</xdr:colOff>
      <xdr:row>133</xdr:row>
      <xdr:rowOff>76200</xdr:rowOff>
    </xdr:from>
    <xdr:to>
      <xdr:col>3</xdr:col>
      <xdr:colOff>66675</xdr:colOff>
      <xdr:row>135</xdr:row>
      <xdr:rowOff>104775</xdr:rowOff>
    </xdr:to>
    <xdr:sp macro="" textlink="">
      <xdr:nvSpPr>
        <xdr:cNvPr id="6" name="Прямоугольник 5">
          <a:extLst>
            <a:ext uri="{FF2B5EF4-FFF2-40B4-BE49-F238E27FC236}">
              <a16:creationId xmlns:a16="http://schemas.microsoft.com/office/drawing/2014/main" id="{00000000-0008-0000-0500-000006000000}"/>
            </a:ext>
          </a:extLst>
        </xdr:cNvPr>
        <xdr:cNvSpPr/>
      </xdr:nvSpPr>
      <xdr:spPr>
        <a:xfrm>
          <a:off x="704850" y="21316950"/>
          <a:ext cx="5048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15</xdr:col>
      <xdr:colOff>304800</xdr:colOff>
      <xdr:row>133</xdr:row>
      <xdr:rowOff>76200</xdr:rowOff>
    </xdr:from>
    <xdr:to>
      <xdr:col>17</xdr:col>
      <xdr:colOff>47625</xdr:colOff>
      <xdr:row>135</xdr:row>
      <xdr:rowOff>104775</xdr:rowOff>
    </xdr:to>
    <xdr:sp macro="" textlink="">
      <xdr:nvSpPr>
        <xdr:cNvPr id="7" name="Прямоугольник 6">
          <a:extLst>
            <a:ext uri="{FF2B5EF4-FFF2-40B4-BE49-F238E27FC236}">
              <a16:creationId xmlns:a16="http://schemas.microsoft.com/office/drawing/2014/main" id="{00000000-0008-0000-0500-000007000000}"/>
            </a:ext>
          </a:extLst>
        </xdr:cNvPr>
        <xdr:cNvSpPr/>
      </xdr:nvSpPr>
      <xdr:spPr>
        <a:xfrm>
          <a:off x="6019800" y="21316950"/>
          <a:ext cx="5048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180977</xdr:colOff>
      <xdr:row>0</xdr:row>
      <xdr:rowOff>142875</xdr:rowOff>
    </xdr:from>
    <xdr:to>
      <xdr:col>7</xdr:col>
      <xdr:colOff>1</xdr:colOff>
      <xdr:row>3</xdr:row>
      <xdr:rowOff>0</xdr:rowOff>
    </xdr:to>
    <xdr:sp macro="" textlink="">
      <xdr:nvSpPr>
        <xdr:cNvPr id="2" name="WordArt 1">
          <a:extLst>
            <a:ext uri="{FF2B5EF4-FFF2-40B4-BE49-F238E27FC236}">
              <a16:creationId xmlns:a16="http://schemas.microsoft.com/office/drawing/2014/main" id="{00000000-0008-0000-0600-000002000000}"/>
            </a:ext>
          </a:extLst>
        </xdr:cNvPr>
        <xdr:cNvSpPr>
          <a:spLocks noChangeArrowheads="1" noChangeShapeType="1" noTextEdit="1"/>
        </xdr:cNvSpPr>
      </xdr:nvSpPr>
      <xdr:spPr bwMode="auto">
        <a:xfrm>
          <a:off x="314327" y="142875"/>
          <a:ext cx="5791199" cy="428625"/>
        </a:xfrm>
        <a:prstGeom prst="rect">
          <a:avLst/>
        </a:prstGeom>
      </xdr:spPr>
      <xdr:txBody>
        <a:bodyPr wrap="none" fromWordArt="1">
          <a:prstTxWarp prst="textPlain">
            <a:avLst>
              <a:gd name="adj" fmla="val 47120"/>
            </a:avLst>
          </a:prstTxWarp>
        </a:bodyPr>
        <a:lstStyle/>
        <a:p>
          <a:pPr algn="ctr" rtl="0"/>
          <a:r>
            <a:rPr lang="ru-RU" sz="3600" kern="10" spc="720">
              <a:ln w="9525">
                <a:noFill/>
                <a:round/>
                <a:headEnd/>
                <a:tailEnd/>
              </a:ln>
              <a:solidFill>
                <a:srgbClr val="808080"/>
              </a:solidFill>
              <a:effectLst>
                <a:outerShdw dist="45791" dir="3378596" algn="ctr" rotWithShape="0">
                  <a:srgbClr val="4D4D4D"/>
                </a:outerShdw>
              </a:effectLst>
              <a:latin typeface="Arial"/>
              <a:cs typeface="Arial"/>
            </a:rPr>
            <a:t>СООО "КамелиТурКомпани"</a:t>
          </a:r>
        </a:p>
      </xdr:txBody>
    </xdr:sp>
    <xdr:clientData/>
  </xdr:twoCellAnchor>
  <xdr:twoCellAnchor editAs="oneCell">
    <xdr:from>
      <xdr:col>9</xdr:col>
      <xdr:colOff>323851</xdr:colOff>
      <xdr:row>30</xdr:row>
      <xdr:rowOff>133350</xdr:rowOff>
    </xdr:from>
    <xdr:to>
      <xdr:col>10</xdr:col>
      <xdr:colOff>1137670</xdr:colOff>
      <xdr:row>38</xdr:row>
      <xdr:rowOff>23625</xdr:rowOff>
    </xdr:to>
    <xdr:pic>
      <xdr:nvPicPr>
        <xdr:cNvPr id="3" name="Рисунок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rot="253735">
          <a:off x="7172326" y="7781925"/>
          <a:ext cx="1423419" cy="1414275"/>
        </a:xfrm>
        <a:prstGeom prst="rect">
          <a:avLst/>
        </a:prstGeom>
      </xdr:spPr>
    </xdr:pic>
    <xdr:clientData/>
  </xdr:twoCellAnchor>
  <xdr:twoCellAnchor editAs="oneCell">
    <xdr:from>
      <xdr:col>8</xdr:col>
      <xdr:colOff>419100</xdr:colOff>
      <xdr:row>32</xdr:row>
      <xdr:rowOff>190499</xdr:rowOff>
    </xdr:from>
    <xdr:to>
      <xdr:col>10</xdr:col>
      <xdr:colOff>218209</xdr:colOff>
      <xdr:row>36</xdr:row>
      <xdr:rowOff>38099</xdr:rowOff>
    </xdr:to>
    <xdr:pic>
      <xdr:nvPicPr>
        <xdr:cNvPr id="4" name="Рисунок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57975" y="8220074"/>
          <a:ext cx="1018309" cy="6096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16</xdr:col>
      <xdr:colOff>9525</xdr:colOff>
      <xdr:row>1</xdr:row>
      <xdr:rowOff>19050</xdr:rowOff>
    </xdr:from>
    <xdr:to>
      <xdr:col>19</xdr:col>
      <xdr:colOff>114748</xdr:colOff>
      <xdr:row>4</xdr:row>
      <xdr:rowOff>0</xdr:rowOff>
    </xdr:to>
    <xdr:pic>
      <xdr:nvPicPr>
        <xdr:cNvPr id="2" name="Рисунок 1" descr="02">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763125" y="209550"/>
          <a:ext cx="1934023"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200</xdr:colOff>
      <xdr:row>14</xdr:row>
      <xdr:rowOff>133350</xdr:rowOff>
    </xdr:from>
    <xdr:to>
      <xdr:col>14</xdr:col>
      <xdr:colOff>187740</xdr:colOff>
      <xdr:row>24</xdr:row>
      <xdr:rowOff>190501</xdr:rowOff>
    </xdr:to>
    <xdr:pic>
      <xdr:nvPicPr>
        <xdr:cNvPr id="3" name="Рисунок 2" descr="belarus2">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09800" y="2800350"/>
          <a:ext cx="8112340" cy="19621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oneCellAnchor>
    <xdr:from>
      <xdr:col>9</xdr:col>
      <xdr:colOff>314325</xdr:colOff>
      <xdr:row>2</xdr:row>
      <xdr:rowOff>0</xdr:rowOff>
    </xdr:from>
    <xdr:ext cx="1571625" cy="557243"/>
    <xdr:pic>
      <xdr:nvPicPr>
        <xdr:cNvPr id="2" name="Рисунок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800725" y="381000"/>
          <a:ext cx="1571625" cy="557243"/>
        </a:xfrm>
        <a:prstGeom prst="rect">
          <a:avLst/>
        </a:prstGeom>
      </xdr:spPr>
    </xdr:pic>
    <xdr:clientData/>
  </xdr:oneCellAnchor>
  <xdr:twoCellAnchor>
    <xdr:from>
      <xdr:col>21</xdr:col>
      <xdr:colOff>133350</xdr:colOff>
      <xdr:row>16</xdr:row>
      <xdr:rowOff>28575</xdr:rowOff>
    </xdr:from>
    <xdr:to>
      <xdr:col>22</xdr:col>
      <xdr:colOff>257175</xdr:colOff>
      <xdr:row>18</xdr:row>
      <xdr:rowOff>57150</xdr:rowOff>
    </xdr:to>
    <xdr:sp macro="" textlink="">
      <xdr:nvSpPr>
        <xdr:cNvPr id="3" name="Прямоугольник 2">
          <a:extLst>
            <a:ext uri="{FF2B5EF4-FFF2-40B4-BE49-F238E27FC236}">
              <a16:creationId xmlns:a16="http://schemas.microsoft.com/office/drawing/2014/main" id="{00000000-0008-0000-0800-000003000000}"/>
            </a:ext>
          </a:extLst>
        </xdr:cNvPr>
        <xdr:cNvSpPr/>
      </xdr:nvSpPr>
      <xdr:spPr>
        <a:xfrm>
          <a:off x="12934950" y="3076575"/>
          <a:ext cx="7334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xdr:col>
      <xdr:colOff>323850</xdr:colOff>
      <xdr:row>57</xdr:row>
      <xdr:rowOff>76200</xdr:rowOff>
    </xdr:from>
    <xdr:to>
      <xdr:col>3</xdr:col>
      <xdr:colOff>66675</xdr:colOff>
      <xdr:row>59</xdr:row>
      <xdr:rowOff>104775</xdr:rowOff>
    </xdr:to>
    <xdr:sp macro="" textlink="">
      <xdr:nvSpPr>
        <xdr:cNvPr id="4" name="Прямоугольник 3">
          <a:extLst>
            <a:ext uri="{FF2B5EF4-FFF2-40B4-BE49-F238E27FC236}">
              <a16:creationId xmlns:a16="http://schemas.microsoft.com/office/drawing/2014/main" id="{00000000-0008-0000-0800-000004000000}"/>
            </a:ext>
          </a:extLst>
        </xdr:cNvPr>
        <xdr:cNvSpPr/>
      </xdr:nvSpPr>
      <xdr:spPr>
        <a:xfrm>
          <a:off x="933450" y="10934700"/>
          <a:ext cx="9620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twoCellAnchor>
    <xdr:from>
      <xdr:col>15</xdr:col>
      <xdr:colOff>304800</xdr:colOff>
      <xdr:row>57</xdr:row>
      <xdr:rowOff>76200</xdr:rowOff>
    </xdr:from>
    <xdr:to>
      <xdr:col>17</xdr:col>
      <xdr:colOff>47625</xdr:colOff>
      <xdr:row>59</xdr:row>
      <xdr:rowOff>104775</xdr:rowOff>
    </xdr:to>
    <xdr:sp macro="" textlink="">
      <xdr:nvSpPr>
        <xdr:cNvPr id="5" name="Прямоугольник 4">
          <a:extLst>
            <a:ext uri="{FF2B5EF4-FFF2-40B4-BE49-F238E27FC236}">
              <a16:creationId xmlns:a16="http://schemas.microsoft.com/office/drawing/2014/main" id="{00000000-0008-0000-0800-000005000000}"/>
            </a:ext>
          </a:extLst>
        </xdr:cNvPr>
        <xdr:cNvSpPr/>
      </xdr:nvSpPr>
      <xdr:spPr>
        <a:xfrm>
          <a:off x="9448800" y="10934700"/>
          <a:ext cx="962025" cy="409575"/>
        </a:xfrm>
        <a:prstGeom prst="rect">
          <a:avLst/>
        </a:prstGeom>
        <a:noFill/>
        <a:ln>
          <a:miter lim="800000"/>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ru-RU"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oeinfo/Desktop/Trans/02.%20Zakaz/AI%207018-1%20--%20A%204998%20B-1/2016_01-28/&#1043;&#1088;&#1091;&#1079;_&#1087;&#1077;&#1088;&#1077;&#1074;&#1086;&#1079;&#1082;&#108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054;&#1043;/&#1050;&#1072;&#1084;&#1077;&#1083;&#1080;/&#1050;&#1072;&#1076;&#1088;&#1099;&#1050;&#1072;&#1084;&#1077;&#1083;&#1080;.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1054;&#1043;/&#1050;&#1072;&#1084;&#1077;&#1083;&#1080;/&#1047;&#1072;&#1082;&#1072;&#1079;&#1099;&#1050;&#1072;&#1084;&#1077;&#1083;&#108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АКТ"/>
      <sheetName val="Счет"/>
      <sheetName val="Заказчики"/>
      <sheetName val="Договор"/>
      <sheetName val="прот"/>
      <sheetName val="конв"/>
      <sheetName val="УСЛ"/>
      <sheetName val="АВт"/>
      <sheetName val="Орф"/>
      <sheetName val="Общие"/>
      <sheetName val="ОтчетВодителя"/>
      <sheetName val="Папка"/>
    </sheetNames>
    <sheetDataSet>
      <sheetData sheetId="0">
        <row r="25">
          <cell r="M25">
            <v>149584</v>
          </cell>
        </row>
      </sheetData>
      <sheetData sheetId="1">
        <row r="16">
          <cell r="K16">
            <v>200000</v>
          </cell>
        </row>
      </sheetData>
      <sheetData sheetId="2">
        <row r="1">
          <cell r="B1" t="str">
            <v>Наименование</v>
          </cell>
        </row>
      </sheetData>
      <sheetData sheetId="3"/>
      <sheetData sheetId="4" refreshError="1"/>
      <sheetData sheetId="5" refreshError="1"/>
      <sheetData sheetId="6" refreshError="1"/>
      <sheetData sheetId="7">
        <row r="1">
          <cell r="A1" t="str">
            <v>Гос.номер</v>
          </cell>
        </row>
        <row r="2">
          <cell r="A2" t="str">
            <v>AI5627-1</v>
          </cell>
        </row>
        <row r="3">
          <cell r="A3" t="str">
            <v>AI5628-1</v>
          </cell>
        </row>
        <row r="4">
          <cell r="A4" t="str">
            <v>AI5629-1</v>
          </cell>
        </row>
        <row r="5">
          <cell r="A5" t="str">
            <v>AI5630-1</v>
          </cell>
        </row>
        <row r="6">
          <cell r="A6" t="str">
            <v>AI5631-1</v>
          </cell>
        </row>
        <row r="7">
          <cell r="A7" t="str">
            <v>АI5686-1</v>
          </cell>
        </row>
        <row r="8">
          <cell r="A8" t="str">
            <v>AI5786-1</v>
          </cell>
        </row>
        <row r="9">
          <cell r="A9" t="str">
            <v>АI5753-1</v>
          </cell>
        </row>
        <row r="10">
          <cell r="A10" t="str">
            <v>АI5755-1</v>
          </cell>
        </row>
        <row r="11">
          <cell r="A11" t="str">
            <v>АI7005-1</v>
          </cell>
        </row>
        <row r="12">
          <cell r="A12" t="str">
            <v>AI7448-1</v>
          </cell>
        </row>
        <row r="13">
          <cell r="A13" t="str">
            <v>AI5950-1</v>
          </cell>
        </row>
        <row r="18">
          <cell r="A18" t="str">
            <v>Транспортный режим</v>
          </cell>
        </row>
        <row r="19">
          <cell r="A19" t="str">
            <v>Работа оборудования</v>
          </cell>
        </row>
        <row r="20">
          <cell r="A20" t="str">
            <v>Дорожный сбор по РБ</v>
          </cell>
        </row>
        <row r="21">
          <cell r="A21" t="str">
            <v>Командировочные расходы</v>
          </cell>
        </row>
        <row r="22">
          <cell r="A22" t="str">
            <v>Проживание</v>
          </cell>
        </row>
        <row r="23">
          <cell r="A23" t="str">
            <v>Стоянка</v>
          </cell>
        </row>
      </sheetData>
      <sheetData sheetId="8" refreshError="1"/>
      <sheetData sheetId="9" refreshError="1"/>
      <sheetData sheetId="10" refreshError="1"/>
      <sheetData sheetId="1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Приказ"/>
      <sheetName val="БД"/>
      <sheetName val="Орф"/>
      <sheetName val="премия"/>
      <sheetName val="Дир"/>
      <sheetName val="Доп"/>
      <sheetName val="таб"/>
      <sheetName val="Гр"/>
      <sheetName val="Доп_таб"/>
      <sheetName val="Л_к"/>
      <sheetName val="Л2"/>
      <sheetName val="Дог"/>
      <sheetName val="Д.М.О"/>
      <sheetName val="Доп_Дог"/>
      <sheetName val="Отчeт1"/>
      <sheetName val="Подарки"/>
      <sheetName val="водит"/>
      <sheetName val="премия (2)"/>
      <sheetName val="Список_стаж"/>
      <sheetName val="Гр_отп "/>
      <sheetName val="Справка"/>
      <sheetName val="карт"/>
      <sheetName val="Штат"/>
      <sheetName val="ПР"/>
      <sheetName val="Заявление"/>
      <sheetName val="осн "/>
      <sheetName val="Ком"/>
      <sheetName val="Ком (2)"/>
      <sheetName val="Стаж"/>
      <sheetName val="Допуск"/>
      <sheetName val="Осн"/>
    </sheetNames>
    <sheetDataSet>
      <sheetData sheetId="0">
        <row r="1">
          <cell r="S1" t="str">
            <v>О приеме на работу</v>
          </cell>
        </row>
      </sheetData>
      <sheetData sheetId="1">
        <row r="1">
          <cell r="E1">
            <v>41782</v>
          </cell>
        </row>
        <row r="2">
          <cell r="E2">
            <v>1</v>
          </cell>
          <cell r="AT2" t="str">
            <v>в/у</v>
          </cell>
        </row>
        <row r="4">
          <cell r="E4" t="str">
            <v>директор</v>
          </cell>
        </row>
        <row r="5">
          <cell r="E5" t="str">
            <v xml:space="preserve">главный бухгалтер </v>
          </cell>
        </row>
        <row r="6">
          <cell r="E6" t="str">
            <v>бухгалтер 2 категории</v>
          </cell>
        </row>
        <row r="7">
          <cell r="E7" t="str">
            <v>инспектор по кадрам</v>
          </cell>
        </row>
        <row r="8">
          <cell r="E8" t="str">
            <v>инженер-механик</v>
          </cell>
          <cell r="AT8" t="str">
            <v>046091 ВСДЕ</v>
          </cell>
        </row>
        <row r="9">
          <cell r="E9" t="str">
            <v>инженер по организации перевозок</v>
          </cell>
          <cell r="AT9" t="str">
            <v>046091 ВСДЕ</v>
          </cell>
        </row>
        <row r="10">
          <cell r="E10" t="str">
            <v>инженер по снабжению</v>
          </cell>
        </row>
        <row r="11">
          <cell r="E11" t="str">
            <v>слесарь по ремонту автомобилей</v>
          </cell>
        </row>
        <row r="12">
          <cell r="E12" t="str">
            <v>диспетчер 1-й категории</v>
          </cell>
        </row>
        <row r="13">
          <cell r="E13" t="str">
            <v>мастер производства</v>
          </cell>
        </row>
        <row r="14">
          <cell r="E14" t="str">
            <v>водитель</v>
          </cell>
          <cell r="AT14" t="str">
            <v>1АА036941 ВСЕ</v>
          </cell>
        </row>
        <row r="15">
          <cell r="E15" t="str">
            <v>слесарь по ремонту автомобилей</v>
          </cell>
        </row>
        <row r="16">
          <cell r="E16" t="str">
            <v>водитель</v>
          </cell>
          <cell r="AT16" t="str">
            <v>1АА034552 АВСЕ</v>
          </cell>
        </row>
        <row r="17">
          <cell r="E17" t="str">
            <v>водитель</v>
          </cell>
          <cell r="AT17" t="str">
            <v>1АА036941 ВСЕ</v>
          </cell>
        </row>
        <row r="18">
          <cell r="E18" t="str">
            <v>слесарь по ремонту автомобилей</v>
          </cell>
        </row>
        <row r="19">
          <cell r="E19" t="str">
            <v>диспетчер</v>
          </cell>
        </row>
        <row r="20">
          <cell r="E20" t="str">
            <v>диспетчер</v>
          </cell>
        </row>
        <row r="21">
          <cell r="E21" t="str">
            <v>диспетчер</v>
          </cell>
        </row>
        <row r="22">
          <cell r="E22" t="str">
            <v>диспетчер</v>
          </cell>
        </row>
        <row r="23">
          <cell r="E23" t="str">
            <v>диспетчер</v>
          </cell>
        </row>
        <row r="24">
          <cell r="E24" t="str">
            <v>водитель автобуса</v>
          </cell>
          <cell r="AT24" t="str">
            <v>1АА 049238 ВСД</v>
          </cell>
        </row>
        <row r="25">
          <cell r="E25" t="str">
            <v>водитель автобуса</v>
          </cell>
          <cell r="AT25" t="str">
            <v>135586 АВСД</v>
          </cell>
        </row>
        <row r="26">
          <cell r="E26" t="str">
            <v>водитель автобуса</v>
          </cell>
          <cell r="AT26" t="str">
            <v>1АА020219 АВСДЕ</v>
          </cell>
        </row>
        <row r="27">
          <cell r="E27" t="str">
            <v>водитель автобуса</v>
          </cell>
          <cell r="AT27" t="str">
            <v>071695 ВСДЕ</v>
          </cell>
        </row>
        <row r="28">
          <cell r="E28" t="str">
            <v>водитель автобуса</v>
          </cell>
          <cell r="AT28" t="str">
            <v>1АА 035922 ВСДЕ</v>
          </cell>
        </row>
        <row r="29">
          <cell r="E29" t="str">
            <v>водитель автобуса</v>
          </cell>
          <cell r="AT29" t="str">
            <v>1АА 155757 ВСДЕ</v>
          </cell>
        </row>
        <row r="30">
          <cell r="E30" t="str">
            <v>водитель автобуса</v>
          </cell>
          <cell r="AT30" t="str">
            <v>1АА037967ВСДЕ</v>
          </cell>
        </row>
        <row r="31">
          <cell r="E31" t="str">
            <v>водитель автобуса</v>
          </cell>
          <cell r="AT31" t="str">
            <v>076915 ВСДЕ</v>
          </cell>
        </row>
        <row r="32">
          <cell r="E32" t="str">
            <v>водитель автобуса</v>
          </cell>
          <cell r="AT32" t="str">
            <v>1АА006960 АВСДЕ</v>
          </cell>
        </row>
        <row r="33">
          <cell r="E33" t="str">
            <v>водитель автобуса</v>
          </cell>
          <cell r="AT33" t="str">
            <v>155613 ВСДЕ</v>
          </cell>
        </row>
        <row r="34">
          <cell r="E34" t="str">
            <v>водитель автобуса</v>
          </cell>
          <cell r="AT34" t="str">
            <v>1АА026582  АВСДЕ</v>
          </cell>
        </row>
        <row r="35">
          <cell r="E35" t="str">
            <v>водитель автобуса</v>
          </cell>
          <cell r="AT35" t="str">
            <v>1АА066109 АВДЕ</v>
          </cell>
        </row>
        <row r="36">
          <cell r="E36" t="str">
            <v>водитель</v>
          </cell>
          <cell r="AT36" t="str">
            <v>1АА034552 АВСЕ</v>
          </cell>
        </row>
        <row r="37">
          <cell r="E37" t="str">
            <v>водитель автобуса</v>
          </cell>
          <cell r="AT37" t="str">
            <v>1АА 007914 АВСДЕ</v>
          </cell>
        </row>
        <row r="38">
          <cell r="E38" t="str">
            <v>водитель автобуса</v>
          </cell>
          <cell r="AT38" t="str">
            <v>142536 ВСДЕ</v>
          </cell>
        </row>
        <row r="39">
          <cell r="E39" t="str">
            <v>водитель автобуса</v>
          </cell>
          <cell r="AT39" t="str">
            <v>1АА029897 ВСДЕ</v>
          </cell>
        </row>
        <row r="40">
          <cell r="E40" t="str">
            <v>водитель автобуса</v>
          </cell>
          <cell r="AT40" t="str">
            <v>1АА043986 ВСДЕ</v>
          </cell>
        </row>
        <row r="41">
          <cell r="E41" t="str">
            <v>водитель автобуса</v>
          </cell>
          <cell r="AT41" t="str">
            <v>1АА012105 ВСДЕ</v>
          </cell>
        </row>
        <row r="42">
          <cell r="E42" t="str">
            <v>водитель автобуса</v>
          </cell>
          <cell r="AT42" t="str">
            <v>136187 ВСДЕ</v>
          </cell>
        </row>
        <row r="43">
          <cell r="E43" t="str">
            <v>водитель автобуса</v>
          </cell>
          <cell r="AT43" t="str">
            <v>043179 ВСДЕ</v>
          </cell>
        </row>
        <row r="44">
          <cell r="E44" t="str">
            <v>водитель автобуса</v>
          </cell>
          <cell r="AT44" t="str">
            <v>АА174202 ВСДЕ</v>
          </cell>
        </row>
        <row r="45">
          <cell r="E45" t="str">
            <v>водитель автобуса</v>
          </cell>
          <cell r="AT45" t="str">
            <v>1АА012105 ВСДЕ</v>
          </cell>
        </row>
        <row r="46">
          <cell r="E46" t="str">
            <v>водитель автобуса</v>
          </cell>
          <cell r="AT46" t="str">
            <v>136187 ВСДЕ</v>
          </cell>
        </row>
        <row r="47">
          <cell r="E47" t="str">
            <v>кондуктор</v>
          </cell>
          <cell r="AT47" t="str">
            <v>043179 ВСДЕ</v>
          </cell>
        </row>
        <row r="48">
          <cell r="E48" t="str">
            <v>кондуктор</v>
          </cell>
          <cell r="AT48" t="str">
            <v>АА174202 ВСДЕ</v>
          </cell>
        </row>
        <row r="49">
          <cell r="E49" t="str">
            <v>кондуктор</v>
          </cell>
          <cell r="AT49" t="str">
            <v>1АА021945 ВСДЕ</v>
          </cell>
        </row>
        <row r="50">
          <cell r="E50" t="str">
            <v>кондуктор</v>
          </cell>
          <cell r="AT50" t="str">
            <v>АА №150635 АВСДЕ</v>
          </cell>
        </row>
        <row r="51">
          <cell r="E51" t="str">
            <v>кондуктор</v>
          </cell>
          <cell r="AT51" t="str">
            <v>1АА026582  АВСДЕ</v>
          </cell>
        </row>
        <row r="52">
          <cell r="E52" t="str">
            <v>кондуктор</v>
          </cell>
          <cell r="AT52" t="str">
            <v>076915 ВСДЕ</v>
          </cell>
        </row>
        <row r="53">
          <cell r="E53" t="str">
            <v>Механик по ремонту транспорта</v>
          </cell>
          <cell r="AT53" t="str">
            <v>1АА059827 ВСД</v>
          </cell>
        </row>
        <row r="54">
          <cell r="E54" t="str">
            <v>слесарь по ремонту автомобилей</v>
          </cell>
        </row>
        <row r="55">
          <cell r="E55" t="str">
            <v>слесарь по ремонту автомобилей</v>
          </cell>
        </row>
        <row r="56">
          <cell r="E56" t="str">
            <v>водитель автобуса</v>
          </cell>
        </row>
        <row r="57">
          <cell r="E57" t="str">
            <v>водитель автобуса</v>
          </cell>
          <cell r="AT57" t="str">
            <v>АА174202 ВСДЕ</v>
          </cell>
        </row>
        <row r="58">
          <cell r="E58" t="str">
            <v>водитель автобуса</v>
          </cell>
          <cell r="AT58" t="str">
            <v>АА174202 ВСДЕ</v>
          </cell>
        </row>
        <row r="59">
          <cell r="E59" t="str">
            <v>водитель автобуса</v>
          </cell>
          <cell r="AT59" t="str">
            <v>АА174202 ВСДЕ</v>
          </cell>
        </row>
        <row r="60">
          <cell r="E60" t="str">
            <v>водитель автобуса</v>
          </cell>
          <cell r="AT60" t="str">
            <v>АА174202 ВСДЕ</v>
          </cell>
        </row>
        <row r="61">
          <cell r="E61" t="str">
            <v>водитель автобуса</v>
          </cell>
          <cell r="AT61" t="str">
            <v>АА174202 ВСДЕ</v>
          </cell>
        </row>
        <row r="62">
          <cell r="E62" t="str">
            <v>водитель автобуса</v>
          </cell>
          <cell r="AT62" t="str">
            <v>АА174202 ВСДЕ</v>
          </cell>
        </row>
        <row r="63">
          <cell r="E63" t="str">
            <v>водитель автобуса</v>
          </cell>
          <cell r="AT63" t="str">
            <v>АА174202 ВСДЕ</v>
          </cell>
        </row>
        <row r="64">
          <cell r="E64" t="str">
            <v>водитель автобуса</v>
          </cell>
          <cell r="AT64" t="str">
            <v>АА174202 ВСДЕ</v>
          </cell>
        </row>
        <row r="65">
          <cell r="E65" t="str">
            <v>водитель автобуса</v>
          </cell>
          <cell r="AT65" t="str">
            <v>АА174202 ВСДЕ</v>
          </cell>
        </row>
        <row r="66">
          <cell r="E66" t="str">
            <v>водитель автобуса</v>
          </cell>
          <cell r="AT66" t="str">
            <v>АА174202 ВСДЕ</v>
          </cell>
        </row>
        <row r="67">
          <cell r="E67" t="str">
            <v>водитель автобуса</v>
          </cell>
          <cell r="AT67" t="str">
            <v>АА174202 ВСДЕ</v>
          </cell>
        </row>
        <row r="68">
          <cell r="E68" t="str">
            <v>водитель автобуса</v>
          </cell>
          <cell r="AT68" t="str">
            <v>АА174202 ВСДЕ</v>
          </cell>
        </row>
        <row r="69">
          <cell r="E69" t="str">
            <v>водитель автобуса</v>
          </cell>
          <cell r="AT69" t="str">
            <v>АА174202 ВСДЕ</v>
          </cell>
        </row>
        <row r="70">
          <cell r="E70" t="str">
            <v>водитель автобуса</v>
          </cell>
          <cell r="AT70" t="str">
            <v>АА174202 ВСДЕ</v>
          </cell>
        </row>
        <row r="71">
          <cell r="E71" t="str">
            <v>водитель автобуса</v>
          </cell>
          <cell r="AT71" t="str">
            <v>АА174202 ВСДЕ</v>
          </cell>
        </row>
        <row r="72">
          <cell r="E72" t="str">
            <v>водитель автобуса</v>
          </cell>
          <cell r="AT72" t="str">
            <v>АА174202 ВСДЕ</v>
          </cell>
        </row>
        <row r="73">
          <cell r="E73" t="str">
            <v>водитель автобуса</v>
          </cell>
          <cell r="AT73" t="str">
            <v>АА174202 ВСДЕ</v>
          </cell>
        </row>
        <row r="74">
          <cell r="E74" t="str">
            <v>водитель автобуса</v>
          </cell>
          <cell r="AT74" t="str">
            <v>АА174202 ВСДЕ</v>
          </cell>
        </row>
        <row r="75">
          <cell r="E75" t="str">
            <v>кондуктор</v>
          </cell>
        </row>
        <row r="76">
          <cell r="E76" t="str">
            <v>кондуктор</v>
          </cell>
        </row>
        <row r="77">
          <cell r="E77" t="str">
            <v>кондуктор</v>
          </cell>
        </row>
        <row r="78">
          <cell r="E78" t="str">
            <v>кондуктор</v>
          </cell>
        </row>
        <row r="79">
          <cell r="E79" t="str">
            <v>кондуктор</v>
          </cell>
        </row>
        <row r="80">
          <cell r="E80" t="str">
            <v>кондуктор</v>
          </cell>
        </row>
        <row r="81">
          <cell r="E81" t="str">
            <v>кондуктор</v>
          </cell>
        </row>
        <row r="95">
          <cell r="E95" t="str">
            <v>Механик по ремонту транспорта</v>
          </cell>
        </row>
        <row r="96">
          <cell r="E96" t="str">
            <v>слесарь по ремонту автомобилей</v>
          </cell>
        </row>
        <row r="97">
          <cell r="E97" t="str">
            <v>слесарь по ремонту автомобилей</v>
          </cell>
        </row>
        <row r="98">
          <cell r="E98" t="str">
            <v>водитель автобуса</v>
          </cell>
          <cell r="AT98" t="str">
            <v>1АА021945 ВСДЕ</v>
          </cell>
        </row>
        <row r="99">
          <cell r="E99" t="str">
            <v>водитель автобуса</v>
          </cell>
        </row>
        <row r="100">
          <cell r="E100" t="str">
            <v>водитель автобуса</v>
          </cell>
          <cell r="AT100" t="str">
            <v>1АА059827 ВСД</v>
          </cell>
        </row>
        <row r="101">
          <cell r="E101" t="str">
            <v>водитель автобуса</v>
          </cell>
        </row>
        <row r="102">
          <cell r="E102" t="str">
            <v>водитель автобуса</v>
          </cell>
          <cell r="AT102" t="str">
            <v>АА №150635 АВСДЕ</v>
          </cell>
        </row>
        <row r="103">
          <cell r="E103" t="str">
            <v>водитель автобуса</v>
          </cell>
        </row>
        <row r="104">
          <cell r="E104" t="str">
            <v>водитель автобуса</v>
          </cell>
          <cell r="AT104" t="str">
            <v>046577 ВСДЕ</v>
          </cell>
        </row>
        <row r="105">
          <cell r="E105" t="str">
            <v>водитель автобуса</v>
          </cell>
          <cell r="AT105" t="str">
            <v>1АА059827 ВСД</v>
          </cell>
        </row>
        <row r="106">
          <cell r="E106" t="str">
            <v>водитель автобуса</v>
          </cell>
        </row>
        <row r="107">
          <cell r="E107" t="str">
            <v>водитель автобуса</v>
          </cell>
        </row>
        <row r="108">
          <cell r="E108" t="str">
            <v>водитель автобуса</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 sheetId="27" refreshError="1"/>
      <sheetData sheetId="28" refreshError="1"/>
      <sheetData sheetId="29" refreshError="1"/>
      <sheetData sheetId="3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Акт"/>
      <sheetName val="Дог_раз"/>
      <sheetName val="Заказчики"/>
      <sheetName val="конв"/>
      <sheetName val="УСЛ"/>
      <sheetName val="АВт"/>
      <sheetName val="Орф"/>
      <sheetName val="Общие"/>
      <sheetName val="Дог_общ"/>
      <sheetName val="Доп_дог"/>
      <sheetName val="Дог"/>
      <sheetName val="Акт_приема"/>
      <sheetName val="прот"/>
      <sheetName val="Лист1"/>
      <sheetName val="Папка"/>
      <sheetName val="конв (2)"/>
      <sheetName val="расчет"/>
      <sheetName val="Коммерч"/>
    </sheetNames>
    <sheetDataSet>
      <sheetData sheetId="0">
        <row r="1">
          <cell r="A1" t="str">
            <v>ОКУПТП "Брестоблагросервис"</v>
          </cell>
        </row>
      </sheetData>
      <sheetData sheetId="1" refreshError="1"/>
      <sheetData sheetId="2">
        <row r="1">
          <cell r="B1" t="str">
            <v>Наименование</v>
          </cell>
        </row>
      </sheetData>
      <sheetData sheetId="3"/>
      <sheetData sheetId="4">
        <row r="1">
          <cell r="A1" t="str">
            <v xml:space="preserve">Транспортные услуги автобусом </v>
          </cell>
        </row>
        <row r="2">
          <cell r="A2" t="str">
            <v>Дорожный сбор по РБ (сочл.)</v>
          </cell>
        </row>
        <row r="3">
          <cell r="A3" t="str">
            <v>Дорожный сбор по РБ</v>
          </cell>
        </row>
        <row r="4">
          <cell r="A4" t="str">
            <v>Командировочные расходы</v>
          </cell>
        </row>
        <row r="5">
          <cell r="A5" t="str">
            <v>Проживание</v>
          </cell>
        </row>
        <row r="6">
          <cell r="A6" t="str">
            <v>Стоянка</v>
          </cell>
        </row>
      </sheetData>
      <sheetData sheetId="5">
        <row r="1">
          <cell r="A1" t="str">
            <v>Гос.номер</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2"/>
  <dimension ref="A1:I182"/>
  <sheetViews>
    <sheetView tabSelected="1" zoomScaleNormal="100" workbookViewId="0">
      <pane ySplit="2" topLeftCell="A176" activePane="bottomLeft" state="frozenSplit"/>
      <selection pane="bottomLeft" activeCell="B181" sqref="B181"/>
    </sheetView>
  </sheetViews>
  <sheetFormatPr defaultRowHeight="15"/>
  <cols>
    <col min="1" max="1" width="5.85546875" customWidth="1"/>
    <col min="2" max="2" width="34.140625" customWidth="1"/>
    <col min="3" max="3" width="47" customWidth="1"/>
    <col min="4" max="4" width="16.28515625" customWidth="1"/>
    <col min="5" max="5" width="17.85546875" customWidth="1"/>
    <col min="6" max="6" width="9.28515625" customWidth="1"/>
    <col min="7" max="7" width="30.42578125" customWidth="1"/>
    <col min="8" max="8" width="22.5703125" customWidth="1"/>
    <col min="9" max="9" width="9.140625" customWidth="1"/>
  </cols>
  <sheetData>
    <row r="1" spans="1:9" s="86" customFormat="1">
      <c r="A1" s="103" t="s">
        <v>13</v>
      </c>
      <c r="B1" s="103" t="s">
        <v>14</v>
      </c>
      <c r="C1" s="103" t="s">
        <v>820</v>
      </c>
      <c r="D1" s="103" t="s">
        <v>821</v>
      </c>
      <c r="E1" s="103"/>
      <c r="F1" s="103"/>
      <c r="G1" s="103" t="s">
        <v>16</v>
      </c>
      <c r="H1" s="103" t="s">
        <v>22</v>
      </c>
      <c r="I1" s="103" t="s">
        <v>23</v>
      </c>
    </row>
    <row r="2" spans="1:9" s="87" customFormat="1" ht="22.5">
      <c r="A2" s="103"/>
      <c r="B2" s="103"/>
      <c r="C2" s="103"/>
      <c r="D2" s="85" t="s">
        <v>822</v>
      </c>
      <c r="E2" s="85" t="s">
        <v>823</v>
      </c>
      <c r="F2" s="85" t="s">
        <v>824</v>
      </c>
      <c r="G2" s="103"/>
      <c r="H2" s="103"/>
      <c r="I2" s="103"/>
    </row>
    <row r="3" spans="1:9" s="88" customFormat="1">
      <c r="A3" s="88">
        <v>1</v>
      </c>
      <c r="B3" s="90" t="s">
        <v>15</v>
      </c>
      <c r="C3" s="88" t="s">
        <v>20</v>
      </c>
      <c r="D3" s="88" t="s">
        <v>225</v>
      </c>
      <c r="E3" s="88" t="s">
        <v>225</v>
      </c>
      <c r="F3" s="88" t="s">
        <v>225</v>
      </c>
      <c r="G3" s="88" t="s">
        <v>17</v>
      </c>
      <c r="H3" s="88" t="str">
        <f>B3</f>
        <v>ИП Кислюк Константин Николаевич</v>
      </c>
      <c r="I3" s="88" t="s">
        <v>21</v>
      </c>
    </row>
    <row r="4" spans="1:9" s="88" customFormat="1">
      <c r="A4" s="88">
        <f>A3+1</f>
        <v>2</v>
      </c>
      <c r="B4" s="90" t="s">
        <v>89</v>
      </c>
      <c r="C4" s="88" t="s">
        <v>93</v>
      </c>
      <c r="D4" s="88" t="s">
        <v>225</v>
      </c>
      <c r="E4" s="88" t="s">
        <v>225</v>
      </c>
      <c r="F4" s="88" t="s">
        <v>225</v>
      </c>
      <c r="G4" s="88" t="s">
        <v>94</v>
      </c>
      <c r="H4" s="88" t="str">
        <f>B4</f>
        <v>ИП Ярошик С.В.</v>
      </c>
      <c r="I4" s="88" t="s">
        <v>90</v>
      </c>
    </row>
    <row r="5" spans="1:9" s="88" customFormat="1">
      <c r="A5" s="88">
        <f t="shared" ref="A5:A71" si="0">A4+1</f>
        <v>3</v>
      </c>
      <c r="B5" s="90" t="s">
        <v>833</v>
      </c>
      <c r="C5" s="88" t="s">
        <v>831</v>
      </c>
      <c r="D5" s="88" t="s">
        <v>832</v>
      </c>
      <c r="E5" s="88" t="s">
        <v>838</v>
      </c>
      <c r="F5" s="88" t="s">
        <v>218</v>
      </c>
      <c r="G5" s="88" t="s">
        <v>793</v>
      </c>
      <c r="H5" s="88" t="s">
        <v>91</v>
      </c>
      <c r="I5" s="88" t="s">
        <v>794</v>
      </c>
    </row>
    <row r="6" spans="1:9" s="88" customFormat="1">
      <c r="A6" s="88">
        <f t="shared" si="0"/>
        <v>4</v>
      </c>
      <c r="B6" s="90" t="s">
        <v>92</v>
      </c>
      <c r="C6" s="88" t="s">
        <v>721</v>
      </c>
      <c r="D6" s="88" t="s">
        <v>836</v>
      </c>
      <c r="E6" s="88" t="s">
        <v>837</v>
      </c>
      <c r="F6" s="88" t="s">
        <v>218</v>
      </c>
      <c r="G6" s="88" t="s">
        <v>722</v>
      </c>
      <c r="H6" s="88" t="s">
        <v>85</v>
      </c>
      <c r="I6" s="88" t="s">
        <v>723</v>
      </c>
    </row>
    <row r="7" spans="1:9" s="88" customFormat="1">
      <c r="A7" s="88">
        <f t="shared" si="0"/>
        <v>5</v>
      </c>
      <c r="B7" s="90" t="s">
        <v>95</v>
      </c>
      <c r="C7" s="88" t="s">
        <v>96</v>
      </c>
      <c r="D7" s="88" t="s">
        <v>225</v>
      </c>
      <c r="E7" s="88" t="s">
        <v>225</v>
      </c>
      <c r="F7" s="88" t="s">
        <v>225</v>
      </c>
      <c r="G7" s="88" t="s">
        <v>97</v>
      </c>
      <c r="H7" s="88" t="s">
        <v>98</v>
      </c>
      <c r="I7" s="88" t="s">
        <v>99</v>
      </c>
    </row>
    <row r="8" spans="1:9" s="88" customFormat="1">
      <c r="A8" s="88">
        <f t="shared" si="0"/>
        <v>6</v>
      </c>
      <c r="B8" s="90" t="s">
        <v>103</v>
      </c>
      <c r="C8" s="88" t="s">
        <v>104</v>
      </c>
      <c r="D8" s="88" t="s">
        <v>225</v>
      </c>
      <c r="E8" s="88" t="s">
        <v>225</v>
      </c>
      <c r="F8" s="88" t="s">
        <v>225</v>
      </c>
      <c r="G8" s="88" t="s">
        <v>105</v>
      </c>
      <c r="H8" s="88" t="str">
        <f>B8</f>
        <v>ИП Студеникин Михаил Иванович</v>
      </c>
      <c r="I8" s="88" t="s">
        <v>106</v>
      </c>
    </row>
    <row r="9" spans="1:9" s="88" customFormat="1">
      <c r="A9" s="88">
        <f t="shared" si="0"/>
        <v>7</v>
      </c>
      <c r="B9" s="90" t="s">
        <v>107</v>
      </c>
      <c r="C9" s="88" t="s">
        <v>903</v>
      </c>
      <c r="D9" s="88" t="s">
        <v>904</v>
      </c>
      <c r="E9" s="88" t="s">
        <v>905</v>
      </c>
      <c r="F9" s="88" t="s">
        <v>218</v>
      </c>
      <c r="G9" s="88" t="s">
        <v>906</v>
      </c>
      <c r="H9" s="88" t="s">
        <v>85</v>
      </c>
      <c r="I9" s="88" t="s">
        <v>108</v>
      </c>
    </row>
    <row r="10" spans="1:9" s="88" customFormat="1">
      <c r="A10" s="88">
        <f t="shared" si="0"/>
        <v>8</v>
      </c>
      <c r="B10" s="90" t="s">
        <v>109</v>
      </c>
      <c r="C10" s="88" t="s">
        <v>110</v>
      </c>
      <c r="D10" s="88" t="s">
        <v>225</v>
      </c>
      <c r="E10" s="88" t="s">
        <v>225</v>
      </c>
      <c r="F10" s="88" t="s">
        <v>225</v>
      </c>
      <c r="G10" s="88" t="s">
        <v>123</v>
      </c>
      <c r="H10" s="88" t="s">
        <v>85</v>
      </c>
      <c r="I10" s="88" t="s">
        <v>111</v>
      </c>
    </row>
    <row r="11" spans="1:9" s="88" customFormat="1">
      <c r="A11" s="88">
        <f t="shared" si="0"/>
        <v>9</v>
      </c>
      <c r="B11" s="90" t="s">
        <v>112</v>
      </c>
      <c r="C11" s="88" t="s">
        <v>113</v>
      </c>
      <c r="D11" s="88" t="s">
        <v>225</v>
      </c>
      <c r="E11" s="88" t="s">
        <v>225</v>
      </c>
      <c r="F11" s="88" t="s">
        <v>225</v>
      </c>
      <c r="G11" s="88" t="s">
        <v>115</v>
      </c>
      <c r="H11" s="88" t="s">
        <v>85</v>
      </c>
      <c r="I11" s="88" t="s">
        <v>114</v>
      </c>
    </row>
    <row r="12" spans="1:9" s="88" customFormat="1">
      <c r="A12" s="88">
        <f t="shared" si="0"/>
        <v>10</v>
      </c>
      <c r="B12" s="90" t="s">
        <v>116</v>
      </c>
      <c r="C12" s="88" t="s">
        <v>117</v>
      </c>
      <c r="D12" s="88" t="s">
        <v>225</v>
      </c>
      <c r="E12" s="88" t="s">
        <v>225</v>
      </c>
      <c r="F12" s="88" t="s">
        <v>225</v>
      </c>
      <c r="G12" s="88" t="s">
        <v>118</v>
      </c>
      <c r="H12" s="88" t="s">
        <v>85</v>
      </c>
      <c r="I12" s="88" t="s">
        <v>119</v>
      </c>
    </row>
    <row r="13" spans="1:9" s="88" customFormat="1">
      <c r="A13" s="88">
        <f t="shared" si="0"/>
        <v>11</v>
      </c>
      <c r="B13" s="90" t="s">
        <v>120</v>
      </c>
      <c r="C13" s="88" t="s">
        <v>121</v>
      </c>
      <c r="D13" s="88" t="s">
        <v>225</v>
      </c>
      <c r="E13" s="88" t="s">
        <v>225</v>
      </c>
      <c r="F13" s="88" t="s">
        <v>225</v>
      </c>
      <c r="G13" s="88" t="s">
        <v>122</v>
      </c>
      <c r="H13" s="88" t="s">
        <v>85</v>
      </c>
      <c r="I13" s="88" t="s">
        <v>119</v>
      </c>
    </row>
    <row r="14" spans="1:9" s="88" customFormat="1">
      <c r="A14" s="88">
        <f t="shared" si="0"/>
        <v>12</v>
      </c>
      <c r="B14" s="90" t="s">
        <v>124</v>
      </c>
      <c r="C14" s="88" t="s">
        <v>125</v>
      </c>
      <c r="D14" s="88" t="s">
        <v>225</v>
      </c>
      <c r="E14" s="88" t="s">
        <v>225</v>
      </c>
      <c r="F14" s="88" t="s">
        <v>225</v>
      </c>
      <c r="G14" s="88" t="s">
        <v>126</v>
      </c>
      <c r="H14" s="88" t="s">
        <v>124</v>
      </c>
      <c r="I14" s="88" t="s">
        <v>119</v>
      </c>
    </row>
    <row r="15" spans="1:9" s="88" customFormat="1">
      <c r="A15" s="88">
        <f t="shared" si="0"/>
        <v>13</v>
      </c>
      <c r="B15" s="90" t="s">
        <v>127</v>
      </c>
      <c r="C15" s="88" t="s">
        <v>130</v>
      </c>
      <c r="D15" s="88" t="s">
        <v>225</v>
      </c>
      <c r="E15" s="88" t="s">
        <v>225</v>
      </c>
      <c r="F15" s="88" t="s">
        <v>225</v>
      </c>
      <c r="G15" s="88" t="s">
        <v>128</v>
      </c>
      <c r="H15" s="88" t="s">
        <v>129</v>
      </c>
      <c r="I15" s="88" t="s">
        <v>119</v>
      </c>
    </row>
    <row r="16" spans="1:9" s="88" customFormat="1">
      <c r="A16" s="88">
        <f t="shared" si="0"/>
        <v>14</v>
      </c>
      <c r="B16" s="90" t="s">
        <v>131</v>
      </c>
      <c r="C16" s="88" t="s">
        <v>132</v>
      </c>
      <c r="D16" s="88" t="s">
        <v>225</v>
      </c>
      <c r="E16" s="88" t="s">
        <v>225</v>
      </c>
      <c r="F16" s="88" t="s">
        <v>225</v>
      </c>
      <c r="G16" s="88" t="s">
        <v>133</v>
      </c>
      <c r="H16" s="88" t="s">
        <v>85</v>
      </c>
      <c r="I16" s="88" t="s">
        <v>134</v>
      </c>
    </row>
    <row r="17" spans="1:9" s="88" customFormat="1">
      <c r="A17" s="88">
        <f t="shared" si="0"/>
        <v>15</v>
      </c>
      <c r="B17" s="90" t="s">
        <v>135</v>
      </c>
      <c r="C17" s="88" t="s">
        <v>136</v>
      </c>
      <c r="D17" s="88" t="s">
        <v>225</v>
      </c>
      <c r="E17" s="88" t="s">
        <v>225</v>
      </c>
      <c r="F17" s="88" t="s">
        <v>225</v>
      </c>
      <c r="G17" s="88" t="s">
        <v>138</v>
      </c>
      <c r="H17" s="88" t="s">
        <v>129</v>
      </c>
      <c r="I17" s="88" t="s">
        <v>137</v>
      </c>
    </row>
    <row r="18" spans="1:9" s="88" customFormat="1">
      <c r="A18" s="88">
        <f t="shared" si="0"/>
        <v>16</v>
      </c>
      <c r="B18" s="90" t="s">
        <v>679</v>
      </c>
      <c r="C18" s="88" t="s">
        <v>680</v>
      </c>
      <c r="D18" s="88" t="s">
        <v>225</v>
      </c>
      <c r="E18" s="88" t="s">
        <v>225</v>
      </c>
      <c r="F18" s="88" t="s">
        <v>225</v>
      </c>
      <c r="G18" s="88" t="s">
        <v>139</v>
      </c>
      <c r="H18" s="88" t="s">
        <v>85</v>
      </c>
      <c r="I18" s="88" t="s">
        <v>681</v>
      </c>
    </row>
    <row r="19" spans="1:9" s="88" customFormat="1" ht="30">
      <c r="A19" s="88">
        <f t="shared" si="0"/>
        <v>17</v>
      </c>
      <c r="B19" s="90" t="s">
        <v>140</v>
      </c>
      <c r="C19" s="88" t="s">
        <v>141</v>
      </c>
      <c r="D19" s="88" t="s">
        <v>225</v>
      </c>
      <c r="E19" s="88" t="s">
        <v>225</v>
      </c>
      <c r="F19" s="88" t="s">
        <v>225</v>
      </c>
      <c r="G19" s="88" t="s">
        <v>142</v>
      </c>
      <c r="H19" s="88" t="s">
        <v>85</v>
      </c>
      <c r="I19" s="88" t="s">
        <v>143</v>
      </c>
    </row>
    <row r="20" spans="1:9" s="88" customFormat="1" ht="30">
      <c r="A20" s="88">
        <f t="shared" si="0"/>
        <v>18</v>
      </c>
      <c r="B20" s="90" t="s">
        <v>209</v>
      </c>
      <c r="C20" s="88" t="s">
        <v>210</v>
      </c>
      <c r="D20" s="88" t="s">
        <v>225</v>
      </c>
      <c r="E20" s="88" t="s">
        <v>225</v>
      </c>
      <c r="F20" s="88" t="s">
        <v>225</v>
      </c>
      <c r="G20" s="88" t="s">
        <v>144</v>
      </c>
      <c r="H20" s="88" t="s">
        <v>85</v>
      </c>
      <c r="I20" s="88" t="s">
        <v>208</v>
      </c>
    </row>
    <row r="21" spans="1:9" s="88" customFormat="1">
      <c r="A21" s="88">
        <f t="shared" si="0"/>
        <v>19</v>
      </c>
      <c r="B21" s="90" t="s">
        <v>145</v>
      </c>
      <c r="C21" s="88" t="s">
        <v>146</v>
      </c>
      <c r="D21" s="88" t="s">
        <v>225</v>
      </c>
      <c r="E21" s="88" t="s">
        <v>225</v>
      </c>
      <c r="F21" s="88" t="s">
        <v>225</v>
      </c>
      <c r="G21" s="88" t="s">
        <v>147</v>
      </c>
      <c r="H21" s="88" t="s">
        <v>145</v>
      </c>
      <c r="I21" s="88" t="s">
        <v>119</v>
      </c>
    </row>
    <row r="22" spans="1:9" s="88" customFormat="1">
      <c r="A22" s="88">
        <f t="shared" si="0"/>
        <v>20</v>
      </c>
      <c r="B22" s="90" t="s">
        <v>148</v>
      </c>
      <c r="C22" s="88" t="s">
        <v>149</v>
      </c>
      <c r="D22" s="88" t="s">
        <v>225</v>
      </c>
      <c r="E22" s="88" t="s">
        <v>225</v>
      </c>
      <c r="F22" s="88" t="s">
        <v>225</v>
      </c>
      <c r="G22" s="88" t="s">
        <v>150</v>
      </c>
      <c r="H22" s="88" t="s">
        <v>85</v>
      </c>
      <c r="I22" s="88" t="s">
        <v>151</v>
      </c>
    </row>
    <row r="23" spans="1:9" s="88" customFormat="1">
      <c r="A23" s="88">
        <f t="shared" si="0"/>
        <v>21</v>
      </c>
      <c r="B23" s="90" t="s">
        <v>152</v>
      </c>
      <c r="C23" s="88" t="s">
        <v>153</v>
      </c>
      <c r="D23" s="88" t="s">
        <v>225</v>
      </c>
      <c r="E23" s="88" t="s">
        <v>225</v>
      </c>
      <c r="F23" s="88" t="s">
        <v>225</v>
      </c>
      <c r="G23" s="88" t="s">
        <v>154</v>
      </c>
      <c r="H23" s="88" t="s">
        <v>129</v>
      </c>
      <c r="I23" s="88" t="s">
        <v>152</v>
      </c>
    </row>
    <row r="24" spans="1:9" s="88" customFormat="1">
      <c r="A24" s="88">
        <f t="shared" si="0"/>
        <v>22</v>
      </c>
      <c r="B24" s="90" t="s">
        <v>155</v>
      </c>
      <c r="C24" s="88" t="s">
        <v>158</v>
      </c>
      <c r="D24" s="88" t="s">
        <v>225</v>
      </c>
      <c r="E24" s="88" t="s">
        <v>225</v>
      </c>
      <c r="F24" s="88" t="s">
        <v>225</v>
      </c>
      <c r="G24" s="88" t="s">
        <v>156</v>
      </c>
      <c r="H24" s="88" t="s">
        <v>85</v>
      </c>
      <c r="I24" s="88" t="s">
        <v>157</v>
      </c>
    </row>
    <row r="25" spans="1:9" s="88" customFormat="1">
      <c r="A25" s="88">
        <f t="shared" si="0"/>
        <v>23</v>
      </c>
      <c r="B25" s="90" t="s">
        <v>159</v>
      </c>
      <c r="C25" s="88" t="s">
        <v>160</v>
      </c>
      <c r="D25" s="88" t="s">
        <v>225</v>
      </c>
      <c r="E25" s="88" t="s">
        <v>225</v>
      </c>
      <c r="F25" s="88" t="s">
        <v>225</v>
      </c>
      <c r="G25" s="88" t="s">
        <v>161</v>
      </c>
      <c r="H25" s="88" t="s">
        <v>159</v>
      </c>
      <c r="I25" s="88" t="s">
        <v>119</v>
      </c>
    </row>
    <row r="26" spans="1:9" s="88" customFormat="1">
      <c r="A26" s="88">
        <f t="shared" si="0"/>
        <v>24</v>
      </c>
      <c r="B26" s="90" t="s">
        <v>162</v>
      </c>
      <c r="C26" s="88" t="s">
        <v>163</v>
      </c>
      <c r="D26" s="88" t="s">
        <v>225</v>
      </c>
      <c r="E26" s="88" t="s">
        <v>225</v>
      </c>
      <c r="F26" s="88" t="s">
        <v>225</v>
      </c>
      <c r="G26" s="88" t="s">
        <v>164</v>
      </c>
      <c r="H26" s="88" t="s">
        <v>162</v>
      </c>
      <c r="I26" s="88" t="s">
        <v>119</v>
      </c>
    </row>
    <row r="27" spans="1:9" s="88" customFormat="1">
      <c r="A27" s="88">
        <f t="shared" si="0"/>
        <v>25</v>
      </c>
      <c r="B27" s="90" t="s">
        <v>165</v>
      </c>
      <c r="C27" s="88" t="s">
        <v>166</v>
      </c>
      <c r="D27" s="88" t="s">
        <v>225</v>
      </c>
      <c r="E27" s="88" t="s">
        <v>225</v>
      </c>
      <c r="F27" s="88" t="s">
        <v>225</v>
      </c>
      <c r="G27" s="88" t="s">
        <v>167</v>
      </c>
      <c r="H27" s="88" t="s">
        <v>168</v>
      </c>
      <c r="I27" s="88" t="s">
        <v>119</v>
      </c>
    </row>
    <row r="28" spans="1:9" s="88" customFormat="1">
      <c r="A28" s="88">
        <f t="shared" si="0"/>
        <v>26</v>
      </c>
      <c r="B28" s="90" t="s">
        <v>169</v>
      </c>
      <c r="C28" s="88" t="s">
        <v>573</v>
      </c>
      <c r="D28" s="88" t="s">
        <v>225</v>
      </c>
      <c r="E28" s="88" t="s">
        <v>225</v>
      </c>
      <c r="F28" s="88" t="s">
        <v>225</v>
      </c>
      <c r="G28" s="88" t="s">
        <v>170</v>
      </c>
      <c r="H28" s="88" t="s">
        <v>169</v>
      </c>
      <c r="I28" s="88" t="s">
        <v>183</v>
      </c>
    </row>
    <row r="29" spans="1:9" s="88" customFormat="1">
      <c r="A29" s="88">
        <f t="shared" si="0"/>
        <v>27</v>
      </c>
      <c r="B29" s="90" t="s">
        <v>171</v>
      </c>
      <c r="C29" s="88" t="s">
        <v>172</v>
      </c>
      <c r="D29" s="88" t="s">
        <v>225</v>
      </c>
      <c r="E29" s="88" t="s">
        <v>225</v>
      </c>
      <c r="F29" s="88" t="s">
        <v>225</v>
      </c>
      <c r="G29" s="88" t="s">
        <v>176</v>
      </c>
      <c r="H29" s="88" t="s">
        <v>85</v>
      </c>
      <c r="I29" s="88" t="s">
        <v>173</v>
      </c>
    </row>
    <row r="30" spans="1:9" s="88" customFormat="1">
      <c r="A30" s="88">
        <f t="shared" si="0"/>
        <v>28</v>
      </c>
      <c r="B30" s="90" t="s">
        <v>174</v>
      </c>
      <c r="C30" s="88" t="s">
        <v>178</v>
      </c>
      <c r="D30" s="88" t="s">
        <v>225</v>
      </c>
      <c r="E30" s="88" t="s">
        <v>225</v>
      </c>
      <c r="F30" s="88" t="s">
        <v>225</v>
      </c>
      <c r="G30" s="88" t="s">
        <v>186</v>
      </c>
      <c r="H30" s="88" t="s">
        <v>85</v>
      </c>
      <c r="I30" s="88" t="s">
        <v>175</v>
      </c>
    </row>
    <row r="31" spans="1:9" s="88" customFormat="1">
      <c r="A31" s="88">
        <f t="shared" si="0"/>
        <v>29</v>
      </c>
      <c r="B31" s="90" t="s">
        <v>177</v>
      </c>
      <c r="C31" s="88" t="s">
        <v>182</v>
      </c>
      <c r="D31" s="88" t="s">
        <v>225</v>
      </c>
      <c r="E31" s="88" t="s">
        <v>225</v>
      </c>
      <c r="F31" s="88" t="s">
        <v>225</v>
      </c>
      <c r="G31" s="88" t="s">
        <v>187</v>
      </c>
      <c r="H31" s="88" t="s">
        <v>192</v>
      </c>
      <c r="I31" s="88" t="s">
        <v>179</v>
      </c>
    </row>
    <row r="32" spans="1:9" s="88" customFormat="1">
      <c r="A32" s="88">
        <f t="shared" si="0"/>
        <v>30</v>
      </c>
      <c r="B32" s="90" t="s">
        <v>180</v>
      </c>
      <c r="C32" s="88" t="s">
        <v>181</v>
      </c>
      <c r="D32" s="88" t="s">
        <v>225</v>
      </c>
      <c r="E32" s="88" t="s">
        <v>225</v>
      </c>
      <c r="F32" s="88" t="s">
        <v>225</v>
      </c>
      <c r="G32" s="88" t="s">
        <v>188</v>
      </c>
      <c r="H32" s="88" t="s">
        <v>185</v>
      </c>
      <c r="I32" s="88" t="s">
        <v>184</v>
      </c>
    </row>
    <row r="33" spans="1:9" s="88" customFormat="1">
      <c r="A33" s="88">
        <f t="shared" si="0"/>
        <v>31</v>
      </c>
      <c r="B33" s="90" t="s">
        <v>194</v>
      </c>
      <c r="C33" s="88" t="s">
        <v>197</v>
      </c>
      <c r="D33" s="88" t="s">
        <v>225</v>
      </c>
      <c r="E33" s="88" t="s">
        <v>225</v>
      </c>
      <c r="F33" s="88" t="s">
        <v>225</v>
      </c>
      <c r="G33" s="88" t="s">
        <v>196</v>
      </c>
      <c r="H33" s="88" t="s">
        <v>85</v>
      </c>
      <c r="I33" s="88" t="s">
        <v>195</v>
      </c>
    </row>
    <row r="34" spans="1:9" s="88" customFormat="1">
      <c r="A34" s="88">
        <f t="shared" si="0"/>
        <v>32</v>
      </c>
      <c r="B34" s="90" t="s">
        <v>198</v>
      </c>
      <c r="C34" s="88" t="s">
        <v>199</v>
      </c>
      <c r="D34" s="88" t="s">
        <v>225</v>
      </c>
      <c r="E34" s="88" t="s">
        <v>225</v>
      </c>
      <c r="F34" s="88" t="s">
        <v>225</v>
      </c>
      <c r="G34" s="88" t="s">
        <v>202</v>
      </c>
      <c r="H34" s="88" t="s">
        <v>200</v>
      </c>
      <c r="I34" s="88" t="s">
        <v>201</v>
      </c>
    </row>
    <row r="35" spans="1:9" s="88" customFormat="1">
      <c r="A35" s="88">
        <f t="shared" si="0"/>
        <v>33</v>
      </c>
      <c r="B35" s="90" t="s">
        <v>189</v>
      </c>
      <c r="C35" s="88" t="s">
        <v>190</v>
      </c>
      <c r="D35" s="88" t="s">
        <v>225</v>
      </c>
      <c r="E35" s="88" t="s">
        <v>225</v>
      </c>
      <c r="F35" s="88" t="s">
        <v>225</v>
      </c>
      <c r="G35" s="88" t="s">
        <v>191</v>
      </c>
      <c r="H35" s="88" t="s">
        <v>85</v>
      </c>
      <c r="I35" s="88" t="s">
        <v>193</v>
      </c>
    </row>
    <row r="36" spans="1:9" s="88" customFormat="1">
      <c r="A36" s="88">
        <f t="shared" si="0"/>
        <v>34</v>
      </c>
      <c r="B36" s="90" t="s">
        <v>203</v>
      </c>
      <c r="C36" s="88" t="s">
        <v>204</v>
      </c>
      <c r="D36" s="88" t="s">
        <v>225</v>
      </c>
      <c r="E36" s="88" t="s">
        <v>225</v>
      </c>
      <c r="F36" s="88" t="s">
        <v>225</v>
      </c>
      <c r="G36" s="88" t="s">
        <v>205</v>
      </c>
      <c r="H36" s="88" t="s">
        <v>203</v>
      </c>
      <c r="I36" s="88" t="s">
        <v>206</v>
      </c>
    </row>
    <row r="37" spans="1:9" s="88" customFormat="1">
      <c r="A37" s="88">
        <f t="shared" si="0"/>
        <v>35</v>
      </c>
      <c r="B37" s="90" t="s">
        <v>211</v>
      </c>
      <c r="C37" s="88" t="s">
        <v>844</v>
      </c>
      <c r="D37" s="88" t="s">
        <v>845</v>
      </c>
      <c r="E37" s="88" t="s">
        <v>846</v>
      </c>
      <c r="F37" s="88" t="s">
        <v>218</v>
      </c>
      <c r="G37" s="88" t="s">
        <v>212</v>
      </c>
      <c r="H37" s="88" t="s">
        <v>85</v>
      </c>
      <c r="I37" s="88" t="s">
        <v>847</v>
      </c>
    </row>
    <row r="38" spans="1:9" s="88" customFormat="1">
      <c r="A38" s="88">
        <f t="shared" si="0"/>
        <v>36</v>
      </c>
      <c r="B38" s="90" t="s">
        <v>216</v>
      </c>
      <c r="C38" s="88" t="s">
        <v>617</v>
      </c>
      <c r="D38" s="88" t="s">
        <v>225</v>
      </c>
      <c r="E38" s="88" t="s">
        <v>225</v>
      </c>
      <c r="F38" s="88" t="s">
        <v>225</v>
      </c>
      <c r="G38" s="88" t="s">
        <v>214</v>
      </c>
      <c r="H38" s="88" t="s">
        <v>213</v>
      </c>
      <c r="I38" s="88" t="s">
        <v>215</v>
      </c>
    </row>
    <row r="39" spans="1:9" s="88" customFormat="1" ht="30">
      <c r="A39" s="88">
        <f t="shared" si="0"/>
        <v>37</v>
      </c>
      <c r="B39" s="90" t="s">
        <v>801</v>
      </c>
      <c r="C39" s="88" t="s">
        <v>802</v>
      </c>
      <c r="D39" s="88" t="s">
        <v>225</v>
      </c>
      <c r="E39" s="88" t="s">
        <v>225</v>
      </c>
      <c r="F39" s="88" t="s">
        <v>225</v>
      </c>
      <c r="G39" s="88" t="s">
        <v>221</v>
      </c>
      <c r="H39" s="88" t="s">
        <v>219</v>
      </c>
      <c r="I39" s="88" t="s">
        <v>220</v>
      </c>
    </row>
    <row r="40" spans="1:9" s="88" customFormat="1">
      <c r="A40" s="88">
        <f t="shared" si="0"/>
        <v>38</v>
      </c>
      <c r="B40" s="90" t="s">
        <v>222</v>
      </c>
      <c r="C40" s="88" t="s">
        <v>223</v>
      </c>
      <c r="D40" s="88" t="s">
        <v>225</v>
      </c>
      <c r="E40" s="88" t="s">
        <v>225</v>
      </c>
      <c r="F40" s="88" t="s">
        <v>225</v>
      </c>
      <c r="G40" s="88" t="s">
        <v>225</v>
      </c>
      <c r="H40" s="88" t="s">
        <v>222</v>
      </c>
      <c r="I40" s="88" t="s">
        <v>224</v>
      </c>
    </row>
    <row r="41" spans="1:9" s="88" customFormat="1">
      <c r="A41" s="88">
        <f t="shared" si="0"/>
        <v>39</v>
      </c>
      <c r="B41" s="90" t="s">
        <v>226</v>
      </c>
      <c r="C41" s="88" t="s">
        <v>227</v>
      </c>
      <c r="D41" s="88" t="s">
        <v>225</v>
      </c>
      <c r="E41" s="88" t="s">
        <v>225</v>
      </c>
      <c r="F41" s="88" t="s">
        <v>225</v>
      </c>
      <c r="G41" s="88" t="s">
        <v>225</v>
      </c>
      <c r="H41" s="88" t="s">
        <v>228</v>
      </c>
      <c r="I41" s="88" t="s">
        <v>229</v>
      </c>
    </row>
    <row r="42" spans="1:9" s="88" customFormat="1">
      <c r="A42" s="88">
        <f t="shared" si="0"/>
        <v>40</v>
      </c>
      <c r="B42" s="90" t="s">
        <v>230</v>
      </c>
      <c r="C42" s="88" t="s">
        <v>232</v>
      </c>
      <c r="D42" s="88" t="s">
        <v>225</v>
      </c>
      <c r="E42" s="88" t="s">
        <v>225</v>
      </c>
      <c r="F42" s="88" t="s">
        <v>225</v>
      </c>
      <c r="G42" s="88" t="s">
        <v>231</v>
      </c>
      <c r="H42" s="88" t="s">
        <v>85</v>
      </c>
      <c r="I42" s="88" t="s">
        <v>237</v>
      </c>
    </row>
    <row r="43" spans="1:9" s="88" customFormat="1">
      <c r="A43" s="88">
        <f t="shared" si="0"/>
        <v>41</v>
      </c>
      <c r="B43" s="90" t="s">
        <v>233</v>
      </c>
      <c r="C43" s="88" t="s">
        <v>234</v>
      </c>
      <c r="D43" s="88" t="s">
        <v>225</v>
      </c>
      <c r="E43" s="88" t="s">
        <v>225</v>
      </c>
      <c r="F43" s="88" t="s">
        <v>225</v>
      </c>
      <c r="G43" s="88" t="s">
        <v>235</v>
      </c>
      <c r="H43" s="88" t="s">
        <v>85</v>
      </c>
      <c r="I43" s="88" t="s">
        <v>236</v>
      </c>
    </row>
    <row r="44" spans="1:9" s="88" customFormat="1">
      <c r="A44" s="88">
        <f t="shared" si="0"/>
        <v>42</v>
      </c>
      <c r="B44" s="90" t="s">
        <v>238</v>
      </c>
      <c r="C44" s="88" t="s">
        <v>239</v>
      </c>
      <c r="D44" s="88" t="s">
        <v>225</v>
      </c>
      <c r="E44" s="88" t="s">
        <v>225</v>
      </c>
      <c r="F44" s="88" t="s">
        <v>225</v>
      </c>
      <c r="G44" s="88" t="s">
        <v>240</v>
      </c>
      <c r="H44" s="88" t="s">
        <v>85</v>
      </c>
      <c r="I44" s="88" t="s">
        <v>241</v>
      </c>
    </row>
    <row r="45" spans="1:9" s="88" customFormat="1">
      <c r="A45" s="88">
        <f t="shared" si="0"/>
        <v>43</v>
      </c>
      <c r="B45" s="90" t="s">
        <v>242</v>
      </c>
      <c r="C45" s="88" t="s">
        <v>243</v>
      </c>
      <c r="D45" s="88" t="s">
        <v>225</v>
      </c>
      <c r="E45" s="88" t="s">
        <v>225</v>
      </c>
      <c r="F45" s="88" t="s">
        <v>225</v>
      </c>
      <c r="G45" s="88" t="s">
        <v>244</v>
      </c>
      <c r="H45" s="88" t="s">
        <v>192</v>
      </c>
      <c r="I45" s="88" t="s">
        <v>245</v>
      </c>
    </row>
    <row r="46" spans="1:9" s="88" customFormat="1">
      <c r="A46" s="88">
        <f t="shared" si="0"/>
        <v>44</v>
      </c>
      <c r="B46" s="90" t="s">
        <v>246</v>
      </c>
      <c r="C46" s="88" t="s">
        <v>247</v>
      </c>
      <c r="D46" s="88" t="s">
        <v>225</v>
      </c>
      <c r="E46" s="88" t="s">
        <v>225</v>
      </c>
      <c r="F46" s="88" t="s">
        <v>225</v>
      </c>
      <c r="G46" s="88" t="s">
        <v>248</v>
      </c>
      <c r="H46" s="88" t="s">
        <v>249</v>
      </c>
      <c r="I46" s="88" t="s">
        <v>250</v>
      </c>
    </row>
    <row r="47" spans="1:9" s="88" customFormat="1">
      <c r="A47" s="88">
        <f t="shared" si="0"/>
        <v>45</v>
      </c>
      <c r="B47" s="90" t="s">
        <v>251</v>
      </c>
      <c r="C47" s="88" t="s">
        <v>565</v>
      </c>
      <c r="D47" s="88" t="s">
        <v>225</v>
      </c>
      <c r="E47" s="88" t="s">
        <v>225</v>
      </c>
      <c r="F47" s="88" t="s">
        <v>225</v>
      </c>
      <c r="G47" s="88" t="s">
        <v>410</v>
      </c>
      <c r="H47" s="88" t="s">
        <v>252</v>
      </c>
      <c r="I47" s="88" t="s">
        <v>253</v>
      </c>
    </row>
    <row r="48" spans="1:9" s="88" customFormat="1" ht="30">
      <c r="A48" s="88">
        <f t="shared" si="0"/>
        <v>46</v>
      </c>
      <c r="B48" s="90" t="s">
        <v>711</v>
      </c>
      <c r="C48" s="88" t="s">
        <v>712</v>
      </c>
      <c r="D48" s="88" t="s">
        <v>225</v>
      </c>
      <c r="E48" s="88" t="s">
        <v>225</v>
      </c>
      <c r="F48" s="88" t="s">
        <v>225</v>
      </c>
      <c r="G48" s="88" t="s">
        <v>256</v>
      </c>
      <c r="H48" s="88" t="s">
        <v>254</v>
      </c>
      <c r="I48" s="88" t="s">
        <v>255</v>
      </c>
    </row>
    <row r="49" spans="1:9" s="88" customFormat="1">
      <c r="A49" s="88">
        <f t="shared" si="0"/>
        <v>47</v>
      </c>
      <c r="B49" s="90" t="s">
        <v>257</v>
      </c>
      <c r="C49" s="88" t="s">
        <v>260</v>
      </c>
      <c r="D49" s="88" t="s">
        <v>225</v>
      </c>
      <c r="E49" s="88" t="s">
        <v>225</v>
      </c>
      <c r="F49" s="88" t="s">
        <v>225</v>
      </c>
      <c r="G49" s="88" t="s">
        <v>258</v>
      </c>
      <c r="H49" s="88" t="s">
        <v>85</v>
      </c>
      <c r="I49" s="88" t="s">
        <v>259</v>
      </c>
    </row>
    <row r="50" spans="1:9" s="88" customFormat="1">
      <c r="A50" s="88">
        <f t="shared" si="0"/>
        <v>48</v>
      </c>
      <c r="B50" s="90" t="s">
        <v>291</v>
      </c>
      <c r="C50" s="88" t="s">
        <v>933</v>
      </c>
      <c r="D50" s="88" t="s">
        <v>934</v>
      </c>
      <c r="E50" s="88" t="s">
        <v>935</v>
      </c>
      <c r="F50" s="88" t="s">
        <v>218</v>
      </c>
      <c r="G50" s="88" t="s">
        <v>292</v>
      </c>
      <c r="H50" s="88" t="s">
        <v>936</v>
      </c>
      <c r="I50" s="88" t="s">
        <v>937</v>
      </c>
    </row>
    <row r="51" spans="1:9" s="88" customFormat="1">
      <c r="A51" s="88">
        <f t="shared" si="0"/>
        <v>49</v>
      </c>
      <c r="B51" s="90" t="s">
        <v>296</v>
      </c>
      <c r="C51" s="88" t="s">
        <v>297</v>
      </c>
      <c r="D51" s="88" t="s">
        <v>225</v>
      </c>
      <c r="E51" s="88" t="s">
        <v>225</v>
      </c>
      <c r="F51" s="88" t="s">
        <v>225</v>
      </c>
      <c r="G51" s="88" t="s">
        <v>298</v>
      </c>
      <c r="H51" s="88" t="s">
        <v>85</v>
      </c>
      <c r="I51" s="88" t="s">
        <v>299</v>
      </c>
    </row>
    <row r="52" spans="1:9" s="88" customFormat="1">
      <c r="A52" s="88">
        <f t="shared" si="0"/>
        <v>50</v>
      </c>
      <c r="B52" s="90" t="s">
        <v>300</v>
      </c>
      <c r="C52" s="88" t="s">
        <v>301</v>
      </c>
      <c r="D52" s="88" t="s">
        <v>225</v>
      </c>
      <c r="E52" s="88" t="s">
        <v>225</v>
      </c>
      <c r="F52" s="88" t="s">
        <v>225</v>
      </c>
      <c r="G52" s="88" t="s">
        <v>302</v>
      </c>
      <c r="H52" s="88" t="s">
        <v>300</v>
      </c>
      <c r="I52" s="88" t="s">
        <v>303</v>
      </c>
    </row>
    <row r="53" spans="1:9" s="88" customFormat="1" ht="30">
      <c r="A53" s="88">
        <f t="shared" si="0"/>
        <v>51</v>
      </c>
      <c r="B53" s="90" t="s">
        <v>304</v>
      </c>
      <c r="C53" s="88" t="s">
        <v>305</v>
      </c>
      <c r="D53" s="88" t="s">
        <v>225</v>
      </c>
      <c r="E53" s="88" t="s">
        <v>225</v>
      </c>
      <c r="F53" s="88" t="s">
        <v>225</v>
      </c>
      <c r="G53" s="88" t="s">
        <v>306</v>
      </c>
      <c r="H53" s="88" t="s">
        <v>85</v>
      </c>
      <c r="I53" s="88" t="s">
        <v>307</v>
      </c>
    </row>
    <row r="54" spans="1:9" s="88" customFormat="1">
      <c r="A54" s="88">
        <f t="shared" si="0"/>
        <v>52</v>
      </c>
      <c r="B54" s="90" t="s">
        <v>308</v>
      </c>
      <c r="C54" s="88" t="s">
        <v>309</v>
      </c>
      <c r="D54" s="88" t="s">
        <v>225</v>
      </c>
      <c r="E54" s="88" t="s">
        <v>225</v>
      </c>
      <c r="F54" s="88" t="s">
        <v>225</v>
      </c>
      <c r="G54" s="88" t="s">
        <v>310</v>
      </c>
      <c r="H54" s="88" t="s">
        <v>85</v>
      </c>
      <c r="I54" s="88" t="s">
        <v>311</v>
      </c>
    </row>
    <row r="55" spans="1:9" s="88" customFormat="1" ht="30">
      <c r="A55" s="88">
        <f t="shared" si="0"/>
        <v>53</v>
      </c>
      <c r="B55" s="90" t="s">
        <v>314</v>
      </c>
      <c r="C55" s="88" t="s">
        <v>313</v>
      </c>
      <c r="D55" s="88" t="s">
        <v>225</v>
      </c>
      <c r="E55" s="88" t="s">
        <v>225</v>
      </c>
      <c r="F55" s="88" t="s">
        <v>225</v>
      </c>
      <c r="G55" s="88" t="s">
        <v>312</v>
      </c>
      <c r="H55" s="88" t="s">
        <v>85</v>
      </c>
      <c r="I55" s="88" t="s">
        <v>315</v>
      </c>
    </row>
    <row r="56" spans="1:9" s="88" customFormat="1">
      <c r="A56" s="88">
        <f t="shared" si="0"/>
        <v>54</v>
      </c>
      <c r="B56" s="90" t="s">
        <v>316</v>
      </c>
      <c r="C56" s="88" t="s">
        <v>319</v>
      </c>
      <c r="D56" s="88" t="s">
        <v>225</v>
      </c>
      <c r="E56" s="88" t="s">
        <v>225</v>
      </c>
      <c r="F56" s="88" t="s">
        <v>225</v>
      </c>
      <c r="G56" s="88" t="s">
        <v>317</v>
      </c>
      <c r="H56" s="88" t="s">
        <v>85</v>
      </c>
      <c r="I56" s="88" t="s">
        <v>318</v>
      </c>
    </row>
    <row r="57" spans="1:9" s="88" customFormat="1">
      <c r="A57" s="88">
        <f t="shared" si="0"/>
        <v>55</v>
      </c>
      <c r="B57" s="90" t="s">
        <v>320</v>
      </c>
      <c r="C57" s="88" t="s">
        <v>321</v>
      </c>
      <c r="D57" s="88" t="s">
        <v>225</v>
      </c>
      <c r="E57" s="88" t="s">
        <v>225</v>
      </c>
      <c r="F57" s="88" t="s">
        <v>225</v>
      </c>
      <c r="G57" s="88" t="s">
        <v>322</v>
      </c>
      <c r="H57" s="88" t="s">
        <v>129</v>
      </c>
      <c r="I57" s="88" t="s">
        <v>323</v>
      </c>
    </row>
    <row r="58" spans="1:9" s="88" customFormat="1">
      <c r="A58" s="88">
        <f t="shared" si="0"/>
        <v>56</v>
      </c>
      <c r="B58" s="90" t="s">
        <v>324</v>
      </c>
      <c r="C58" s="88" t="s">
        <v>349</v>
      </c>
      <c r="D58" s="88" t="s">
        <v>225</v>
      </c>
      <c r="E58" s="88" t="s">
        <v>225</v>
      </c>
      <c r="F58" s="88" t="s">
        <v>225</v>
      </c>
      <c r="G58" s="88" t="s">
        <v>325</v>
      </c>
      <c r="H58" s="88" t="s">
        <v>85</v>
      </c>
      <c r="I58" s="88" t="s">
        <v>326</v>
      </c>
    </row>
    <row r="59" spans="1:9" s="88" customFormat="1">
      <c r="A59" s="88">
        <f t="shared" si="0"/>
        <v>57</v>
      </c>
      <c r="B59" s="90" t="s">
        <v>327</v>
      </c>
      <c r="C59" s="88" t="s">
        <v>330</v>
      </c>
      <c r="D59" s="88" t="s">
        <v>225</v>
      </c>
      <c r="E59" s="88" t="s">
        <v>225</v>
      </c>
      <c r="F59" s="88" t="s">
        <v>225</v>
      </c>
      <c r="G59" s="88" t="s">
        <v>329</v>
      </c>
      <c r="H59" s="88" t="s">
        <v>85</v>
      </c>
      <c r="I59" s="88" t="s">
        <v>328</v>
      </c>
    </row>
    <row r="60" spans="1:9" s="88" customFormat="1">
      <c r="A60" s="88">
        <f t="shared" si="0"/>
        <v>58</v>
      </c>
      <c r="B60" s="90" t="s">
        <v>331</v>
      </c>
      <c r="C60" s="88" t="s">
        <v>335</v>
      </c>
      <c r="D60" s="88" t="s">
        <v>225</v>
      </c>
      <c r="E60" s="88" t="s">
        <v>225</v>
      </c>
      <c r="F60" s="88" t="s">
        <v>225</v>
      </c>
      <c r="G60" s="88" t="s">
        <v>333</v>
      </c>
      <c r="H60" s="88" t="s">
        <v>334</v>
      </c>
      <c r="I60" s="88" t="s">
        <v>332</v>
      </c>
    </row>
    <row r="61" spans="1:9" s="88" customFormat="1">
      <c r="A61" s="88">
        <f t="shared" si="0"/>
        <v>59</v>
      </c>
      <c r="B61" s="90" t="s">
        <v>336</v>
      </c>
      <c r="C61" s="88" t="s">
        <v>340</v>
      </c>
      <c r="D61" s="88" t="s">
        <v>225</v>
      </c>
      <c r="E61" s="88" t="s">
        <v>225</v>
      </c>
      <c r="F61" s="88" t="s">
        <v>225</v>
      </c>
      <c r="G61" s="88" t="s">
        <v>339</v>
      </c>
      <c r="H61" s="88" t="s">
        <v>337</v>
      </c>
      <c r="I61" s="88" t="s">
        <v>338</v>
      </c>
    </row>
    <row r="62" spans="1:9" s="88" customFormat="1">
      <c r="A62" s="88">
        <f t="shared" si="0"/>
        <v>60</v>
      </c>
      <c r="B62" s="90" t="s">
        <v>341</v>
      </c>
      <c r="C62" s="88" t="s">
        <v>344</v>
      </c>
      <c r="D62" s="88" t="s">
        <v>225</v>
      </c>
      <c r="E62" s="88" t="s">
        <v>225</v>
      </c>
      <c r="F62" s="88" t="s">
        <v>225</v>
      </c>
      <c r="G62" s="88" t="s">
        <v>342</v>
      </c>
      <c r="H62" s="88" t="s">
        <v>85</v>
      </c>
      <c r="I62" s="88" t="s">
        <v>343</v>
      </c>
    </row>
    <row r="63" spans="1:9" s="88" customFormat="1">
      <c r="A63" s="88">
        <f t="shared" si="0"/>
        <v>61</v>
      </c>
      <c r="B63" s="90" t="s">
        <v>345</v>
      </c>
      <c r="C63" s="88" t="s">
        <v>348</v>
      </c>
      <c r="D63" s="88" t="s">
        <v>225</v>
      </c>
      <c r="E63" s="88" t="s">
        <v>225</v>
      </c>
      <c r="F63" s="88" t="s">
        <v>225</v>
      </c>
      <c r="G63" s="88" t="s">
        <v>347</v>
      </c>
      <c r="H63" s="88" t="s">
        <v>350</v>
      </c>
      <c r="I63" s="88" t="s">
        <v>346</v>
      </c>
    </row>
    <row r="64" spans="1:9" s="88" customFormat="1">
      <c r="A64" s="88">
        <f t="shared" si="0"/>
        <v>62</v>
      </c>
      <c r="B64" s="90" t="s">
        <v>351</v>
      </c>
      <c r="C64" s="88" t="s">
        <v>352</v>
      </c>
      <c r="D64" s="88" t="s">
        <v>225</v>
      </c>
      <c r="E64" s="88" t="s">
        <v>225</v>
      </c>
      <c r="F64" s="88" t="s">
        <v>225</v>
      </c>
      <c r="G64" s="88" t="s">
        <v>353</v>
      </c>
      <c r="H64" s="88" t="s">
        <v>85</v>
      </c>
      <c r="I64" s="88" t="s">
        <v>354</v>
      </c>
    </row>
    <row r="65" spans="1:9" s="88" customFormat="1">
      <c r="A65" s="88">
        <f t="shared" si="0"/>
        <v>63</v>
      </c>
      <c r="B65" s="90" t="s">
        <v>355</v>
      </c>
      <c r="C65" s="88" t="s">
        <v>356</v>
      </c>
      <c r="D65" s="88" t="s">
        <v>225</v>
      </c>
      <c r="E65" s="88" t="s">
        <v>225</v>
      </c>
      <c r="F65" s="88" t="s">
        <v>225</v>
      </c>
      <c r="G65" s="88" t="s">
        <v>357</v>
      </c>
      <c r="H65" s="88" t="s">
        <v>355</v>
      </c>
      <c r="I65" s="88" t="s">
        <v>358</v>
      </c>
    </row>
    <row r="66" spans="1:9" s="88" customFormat="1">
      <c r="A66" s="88">
        <f t="shared" si="0"/>
        <v>64</v>
      </c>
      <c r="B66" s="90" t="s">
        <v>359</v>
      </c>
      <c r="C66" s="88" t="s">
        <v>360</v>
      </c>
      <c r="D66" s="88" t="s">
        <v>225</v>
      </c>
      <c r="E66" s="88" t="s">
        <v>225</v>
      </c>
      <c r="F66" s="88" t="s">
        <v>225</v>
      </c>
      <c r="G66" s="88" t="s">
        <v>361</v>
      </c>
      <c r="H66" s="88" t="s">
        <v>85</v>
      </c>
      <c r="I66" s="88" t="s">
        <v>362</v>
      </c>
    </row>
    <row r="67" spans="1:9" s="88" customFormat="1">
      <c r="A67" s="88">
        <f t="shared" si="0"/>
        <v>65</v>
      </c>
      <c r="B67" s="90" t="s">
        <v>363</v>
      </c>
      <c r="C67" s="88" t="s">
        <v>364</v>
      </c>
      <c r="D67" s="88" t="s">
        <v>225</v>
      </c>
      <c r="E67" s="88" t="s">
        <v>225</v>
      </c>
      <c r="F67" s="88" t="s">
        <v>225</v>
      </c>
      <c r="G67" s="88" t="s">
        <v>365</v>
      </c>
      <c r="H67" s="88" t="s">
        <v>85</v>
      </c>
      <c r="I67" s="88" t="s">
        <v>366</v>
      </c>
    </row>
    <row r="68" spans="1:9" s="88" customFormat="1">
      <c r="A68" s="88">
        <f t="shared" si="0"/>
        <v>66</v>
      </c>
      <c r="B68" s="90" t="s">
        <v>367</v>
      </c>
      <c r="C68" s="88" t="s">
        <v>368</v>
      </c>
      <c r="D68" s="88" t="s">
        <v>225</v>
      </c>
      <c r="E68" s="88" t="s">
        <v>225</v>
      </c>
      <c r="F68" s="88" t="s">
        <v>225</v>
      </c>
      <c r="G68" s="88" t="s">
        <v>382</v>
      </c>
      <c r="H68" s="88" t="s">
        <v>85</v>
      </c>
      <c r="I68" s="88" t="s">
        <v>369</v>
      </c>
    </row>
    <row r="69" spans="1:9" s="88" customFormat="1">
      <c r="A69" s="88">
        <f t="shared" si="0"/>
        <v>67</v>
      </c>
      <c r="B69" s="90" t="s">
        <v>371</v>
      </c>
      <c r="C69" s="88" t="s">
        <v>373</v>
      </c>
      <c r="D69" s="88" t="s">
        <v>225</v>
      </c>
      <c r="E69" s="88" t="s">
        <v>225</v>
      </c>
      <c r="F69" s="88" t="s">
        <v>225</v>
      </c>
      <c r="H69" s="88" t="s">
        <v>85</v>
      </c>
      <c r="I69" s="88" t="s">
        <v>372</v>
      </c>
    </row>
    <row r="70" spans="1:9" s="88" customFormat="1">
      <c r="A70" s="88">
        <f t="shared" si="0"/>
        <v>68</v>
      </c>
      <c r="B70" s="90" t="s">
        <v>374</v>
      </c>
      <c r="C70" s="88" t="s">
        <v>375</v>
      </c>
      <c r="D70" s="88" t="s">
        <v>225</v>
      </c>
      <c r="E70" s="88" t="s">
        <v>225</v>
      </c>
      <c r="F70" s="88" t="s">
        <v>225</v>
      </c>
      <c r="G70" s="88" t="s">
        <v>376</v>
      </c>
      <c r="H70" s="88" t="s">
        <v>85</v>
      </c>
      <c r="I70" s="88" t="s">
        <v>377</v>
      </c>
    </row>
    <row r="71" spans="1:9" s="88" customFormat="1">
      <c r="A71" s="88">
        <f t="shared" si="0"/>
        <v>69</v>
      </c>
      <c r="B71" s="90" t="s">
        <v>378</v>
      </c>
      <c r="C71" s="88" t="s">
        <v>379</v>
      </c>
      <c r="D71" s="88" t="s">
        <v>225</v>
      </c>
      <c r="E71" s="88" t="s">
        <v>225</v>
      </c>
      <c r="F71" s="88" t="s">
        <v>225</v>
      </c>
      <c r="G71" s="88" t="s">
        <v>380</v>
      </c>
      <c r="H71" s="88" t="s">
        <v>85</v>
      </c>
      <c r="I71" s="88" t="s">
        <v>381</v>
      </c>
    </row>
    <row r="72" spans="1:9" s="88" customFormat="1">
      <c r="A72" s="88">
        <f t="shared" ref="A72:A135" si="1">A71+1</f>
        <v>70</v>
      </c>
      <c r="B72" s="90" t="s">
        <v>385</v>
      </c>
      <c r="C72" s="88" t="s">
        <v>891</v>
      </c>
      <c r="D72" s="88" t="s">
        <v>889</v>
      </c>
      <c r="E72" s="88" t="s">
        <v>890</v>
      </c>
      <c r="F72" s="88" t="s">
        <v>218</v>
      </c>
      <c r="G72" s="88" t="s">
        <v>386</v>
      </c>
      <c r="H72" s="88" t="s">
        <v>249</v>
      </c>
      <c r="I72" s="88" t="s">
        <v>387</v>
      </c>
    </row>
    <row r="73" spans="1:9" s="88" customFormat="1">
      <c r="A73" s="88">
        <f t="shared" si="1"/>
        <v>71</v>
      </c>
      <c r="B73" s="90" t="s">
        <v>388</v>
      </c>
      <c r="C73" s="88" t="s">
        <v>389</v>
      </c>
      <c r="D73" s="88" t="s">
        <v>225</v>
      </c>
      <c r="E73" s="88" t="s">
        <v>225</v>
      </c>
      <c r="F73" s="88" t="s">
        <v>225</v>
      </c>
      <c r="G73" s="88" t="s">
        <v>390</v>
      </c>
      <c r="H73" s="88" t="s">
        <v>249</v>
      </c>
      <c r="I73" s="88" t="s">
        <v>391</v>
      </c>
    </row>
    <row r="74" spans="1:9" s="88" customFormat="1">
      <c r="A74" s="88">
        <f t="shared" si="1"/>
        <v>72</v>
      </c>
      <c r="B74" s="90" t="s">
        <v>392</v>
      </c>
      <c r="C74" s="88" t="s">
        <v>393</v>
      </c>
      <c r="D74" s="88" t="s">
        <v>225</v>
      </c>
      <c r="E74" s="88" t="s">
        <v>225</v>
      </c>
      <c r="F74" s="88" t="s">
        <v>225</v>
      </c>
      <c r="G74" s="88" t="s">
        <v>394</v>
      </c>
      <c r="H74" s="88" t="s">
        <v>392</v>
      </c>
      <c r="I74" s="88" t="s">
        <v>395</v>
      </c>
    </row>
    <row r="75" spans="1:9" s="88" customFormat="1">
      <c r="A75" s="88">
        <f t="shared" si="1"/>
        <v>73</v>
      </c>
      <c r="B75" s="90" t="s">
        <v>396</v>
      </c>
      <c r="C75" s="88" t="s">
        <v>498</v>
      </c>
      <c r="D75" s="88" t="s">
        <v>225</v>
      </c>
      <c r="E75" s="88" t="s">
        <v>225</v>
      </c>
      <c r="F75" s="88" t="s">
        <v>225</v>
      </c>
      <c r="G75" s="88" t="s">
        <v>497</v>
      </c>
      <c r="H75" s="88" t="s">
        <v>85</v>
      </c>
      <c r="I75" s="88" t="s">
        <v>398</v>
      </c>
    </row>
    <row r="76" spans="1:9" s="88" customFormat="1">
      <c r="A76" s="88">
        <f t="shared" si="1"/>
        <v>74</v>
      </c>
      <c r="B76" s="90" t="s">
        <v>399</v>
      </c>
      <c r="C76" s="88" t="s">
        <v>400</v>
      </c>
      <c r="D76" s="88" t="s">
        <v>225</v>
      </c>
      <c r="E76" s="88" t="s">
        <v>225</v>
      </c>
      <c r="F76" s="88" t="s">
        <v>225</v>
      </c>
      <c r="G76" s="88" t="s">
        <v>401</v>
      </c>
      <c r="H76" s="88" t="s">
        <v>85</v>
      </c>
      <c r="I76" s="88" t="s">
        <v>402</v>
      </c>
    </row>
    <row r="77" spans="1:9" s="88" customFormat="1">
      <c r="A77" s="88">
        <f t="shared" si="1"/>
        <v>75</v>
      </c>
      <c r="B77" s="90" t="s">
        <v>403</v>
      </c>
      <c r="C77" s="88" t="s">
        <v>404</v>
      </c>
      <c r="D77" s="88" t="s">
        <v>225</v>
      </c>
      <c r="E77" s="88" t="s">
        <v>225</v>
      </c>
      <c r="F77" s="88" t="s">
        <v>225</v>
      </c>
      <c r="G77" s="88" t="s">
        <v>397</v>
      </c>
      <c r="H77" s="88" t="s">
        <v>85</v>
      </c>
      <c r="I77" s="88" t="s">
        <v>405</v>
      </c>
    </row>
    <row r="78" spans="1:9" s="88" customFormat="1">
      <c r="A78" s="88">
        <f t="shared" si="1"/>
        <v>76</v>
      </c>
      <c r="B78" s="90" t="s">
        <v>406</v>
      </c>
      <c r="C78" s="88" t="s">
        <v>407</v>
      </c>
      <c r="D78" s="88" t="s">
        <v>225</v>
      </c>
      <c r="E78" s="88" t="s">
        <v>225</v>
      </c>
      <c r="F78" s="88" t="s">
        <v>225</v>
      </c>
      <c r="G78" s="88" t="s">
        <v>408</v>
      </c>
      <c r="H78" s="88" t="s">
        <v>85</v>
      </c>
      <c r="I78" s="88" t="s">
        <v>409</v>
      </c>
    </row>
    <row r="79" spans="1:9" s="88" customFormat="1">
      <c r="A79" s="88">
        <f t="shared" si="1"/>
        <v>77</v>
      </c>
      <c r="B79" s="90" t="s">
        <v>411</v>
      </c>
      <c r="C79" s="88" t="s">
        <v>412</v>
      </c>
      <c r="D79" s="88" t="s">
        <v>225</v>
      </c>
      <c r="E79" s="88" t="s">
        <v>225</v>
      </c>
      <c r="F79" s="88" t="s">
        <v>225</v>
      </c>
      <c r="G79" s="88" t="s">
        <v>413</v>
      </c>
      <c r="H79" s="88" t="s">
        <v>85</v>
      </c>
      <c r="I79" s="88" t="s">
        <v>414</v>
      </c>
    </row>
    <row r="80" spans="1:9" s="88" customFormat="1">
      <c r="A80" s="88">
        <f t="shared" si="1"/>
        <v>78</v>
      </c>
      <c r="B80" s="90" t="s">
        <v>415</v>
      </c>
      <c r="C80" s="88" t="s">
        <v>416</v>
      </c>
      <c r="D80" s="88" t="s">
        <v>225</v>
      </c>
      <c r="E80" s="88" t="s">
        <v>225</v>
      </c>
      <c r="F80" s="88" t="s">
        <v>225</v>
      </c>
      <c r="G80" s="88" t="s">
        <v>417</v>
      </c>
      <c r="H80" s="88" t="s">
        <v>418</v>
      </c>
      <c r="I80" s="88" t="s">
        <v>419</v>
      </c>
    </row>
    <row r="81" spans="1:9" s="88" customFormat="1">
      <c r="A81" s="88">
        <f t="shared" si="1"/>
        <v>79</v>
      </c>
      <c r="B81" s="90" t="s">
        <v>420</v>
      </c>
      <c r="C81" s="88" t="s">
        <v>421</v>
      </c>
      <c r="D81" s="88" t="s">
        <v>225</v>
      </c>
      <c r="E81" s="88" t="s">
        <v>225</v>
      </c>
      <c r="F81" s="88" t="s">
        <v>225</v>
      </c>
      <c r="G81" s="88" t="s">
        <v>422</v>
      </c>
      <c r="H81" s="88" t="s">
        <v>192</v>
      </c>
      <c r="I81" s="88" t="s">
        <v>423</v>
      </c>
    </row>
    <row r="82" spans="1:9" s="88" customFormat="1">
      <c r="A82" s="88">
        <f t="shared" si="1"/>
        <v>80</v>
      </c>
      <c r="B82" s="90" t="s">
        <v>424</v>
      </c>
      <c r="C82" s="88" t="s">
        <v>430</v>
      </c>
      <c r="D82" s="88" t="s">
        <v>225</v>
      </c>
      <c r="E82" s="88" t="s">
        <v>225</v>
      </c>
      <c r="F82" s="88" t="s">
        <v>225</v>
      </c>
      <c r="G82" s="88" t="s">
        <v>425</v>
      </c>
      <c r="H82" s="88" t="s">
        <v>334</v>
      </c>
      <c r="I82" s="88" t="s">
        <v>426</v>
      </c>
    </row>
    <row r="83" spans="1:9" s="88" customFormat="1">
      <c r="A83" s="88">
        <f t="shared" si="1"/>
        <v>81</v>
      </c>
      <c r="B83" s="90" t="s">
        <v>427</v>
      </c>
      <c r="C83" s="88" t="s">
        <v>429</v>
      </c>
      <c r="D83" s="88" t="s">
        <v>834</v>
      </c>
      <c r="E83" s="88" t="s">
        <v>835</v>
      </c>
      <c r="F83" s="88" t="s">
        <v>218</v>
      </c>
      <c r="G83" s="88" t="s">
        <v>431</v>
      </c>
      <c r="H83" s="88" t="s">
        <v>85</v>
      </c>
      <c r="I83" s="88" t="s">
        <v>428</v>
      </c>
    </row>
    <row r="84" spans="1:9" s="88" customFormat="1">
      <c r="A84" s="88">
        <f t="shared" si="1"/>
        <v>82</v>
      </c>
      <c r="B84" s="90" t="s">
        <v>433</v>
      </c>
      <c r="C84" s="88" t="s">
        <v>434</v>
      </c>
      <c r="D84" s="88" t="s">
        <v>225</v>
      </c>
      <c r="E84" s="88" t="s">
        <v>225</v>
      </c>
      <c r="F84" s="88" t="s">
        <v>225</v>
      </c>
      <c r="G84" s="88" t="s">
        <v>432</v>
      </c>
      <c r="H84" s="88" t="s">
        <v>85</v>
      </c>
      <c r="I84" s="88" t="s">
        <v>435</v>
      </c>
    </row>
    <row r="85" spans="1:9" s="88" customFormat="1" ht="30">
      <c r="A85" s="88">
        <f t="shared" si="1"/>
        <v>83</v>
      </c>
      <c r="B85" s="90" t="s">
        <v>436</v>
      </c>
      <c r="C85" s="88" t="s">
        <v>437</v>
      </c>
      <c r="D85" s="88" t="s">
        <v>225</v>
      </c>
      <c r="E85" s="88" t="s">
        <v>225</v>
      </c>
      <c r="F85" s="88" t="s">
        <v>225</v>
      </c>
      <c r="G85" s="88" t="s">
        <v>438</v>
      </c>
      <c r="H85" s="88" t="s">
        <v>85</v>
      </c>
      <c r="I85" s="88" t="s">
        <v>439</v>
      </c>
    </row>
    <row r="86" spans="1:9" s="88" customFormat="1" ht="30">
      <c r="A86" s="88">
        <f t="shared" si="1"/>
        <v>84</v>
      </c>
      <c r="B86" s="90" t="s">
        <v>440</v>
      </c>
      <c r="C86" s="88" t="s">
        <v>441</v>
      </c>
      <c r="D86" s="88" t="s">
        <v>225</v>
      </c>
      <c r="E86" s="88" t="s">
        <v>225</v>
      </c>
      <c r="F86" s="88" t="s">
        <v>225</v>
      </c>
      <c r="G86" s="88" t="s">
        <v>442</v>
      </c>
      <c r="H86" s="88" t="s">
        <v>443</v>
      </c>
      <c r="I86" s="88" t="s">
        <v>444</v>
      </c>
    </row>
    <row r="87" spans="1:9" s="88" customFormat="1">
      <c r="A87" s="88">
        <f t="shared" si="1"/>
        <v>85</v>
      </c>
      <c r="B87" s="90" t="s">
        <v>445</v>
      </c>
      <c r="C87" s="88" t="s">
        <v>566</v>
      </c>
      <c r="D87" s="88" t="s">
        <v>225</v>
      </c>
      <c r="E87" s="88" t="s">
        <v>225</v>
      </c>
      <c r="F87" s="88" t="s">
        <v>225</v>
      </c>
      <c r="G87" s="88" t="s">
        <v>446</v>
      </c>
      <c r="H87" s="88" t="s">
        <v>447</v>
      </c>
      <c r="I87" s="88" t="s">
        <v>448</v>
      </c>
    </row>
    <row r="88" spans="1:9" s="88" customFormat="1">
      <c r="A88" s="88">
        <f t="shared" si="1"/>
        <v>86</v>
      </c>
      <c r="B88" s="90" t="s">
        <v>449</v>
      </c>
      <c r="C88" s="88" t="s">
        <v>450</v>
      </c>
      <c r="D88" s="88" t="s">
        <v>225</v>
      </c>
      <c r="E88" s="88" t="s">
        <v>225</v>
      </c>
      <c r="F88" s="88" t="s">
        <v>225</v>
      </c>
      <c r="G88" s="88" t="s">
        <v>453</v>
      </c>
      <c r="H88" s="88" t="s">
        <v>452</v>
      </c>
      <c r="I88" s="88" t="s">
        <v>451</v>
      </c>
    </row>
    <row r="89" spans="1:9" s="88" customFormat="1">
      <c r="A89" s="88">
        <f t="shared" si="1"/>
        <v>87</v>
      </c>
      <c r="B89" s="90" t="s">
        <v>454</v>
      </c>
      <c r="C89" s="88" t="s">
        <v>456</v>
      </c>
      <c r="D89" s="88" t="s">
        <v>225</v>
      </c>
      <c r="E89" s="88" t="s">
        <v>225</v>
      </c>
      <c r="F89" s="88" t="s">
        <v>225</v>
      </c>
      <c r="G89" s="88" t="s">
        <v>457</v>
      </c>
      <c r="H89" s="88" t="s">
        <v>85</v>
      </c>
      <c r="I89" s="88" t="s">
        <v>455</v>
      </c>
    </row>
    <row r="90" spans="1:9" s="88" customFormat="1">
      <c r="A90" s="88">
        <f t="shared" si="1"/>
        <v>88</v>
      </c>
      <c r="B90" s="90" t="s">
        <v>458</v>
      </c>
      <c r="C90" s="88" t="s">
        <v>459</v>
      </c>
      <c r="D90" s="88" t="s">
        <v>225</v>
      </c>
      <c r="E90" s="88" t="s">
        <v>225</v>
      </c>
      <c r="F90" s="88" t="s">
        <v>225</v>
      </c>
      <c r="G90" s="88" t="s">
        <v>460</v>
      </c>
      <c r="H90" s="88" t="s">
        <v>85</v>
      </c>
      <c r="I90" s="88" t="s">
        <v>461</v>
      </c>
    </row>
    <row r="91" spans="1:9" s="88" customFormat="1">
      <c r="A91" s="88">
        <f t="shared" si="1"/>
        <v>89</v>
      </c>
      <c r="B91" s="90" t="s">
        <v>462</v>
      </c>
      <c r="C91" s="88" t="s">
        <v>463</v>
      </c>
      <c r="D91" s="88" t="s">
        <v>225</v>
      </c>
      <c r="E91" s="88" t="s">
        <v>225</v>
      </c>
      <c r="F91" s="88" t="s">
        <v>225</v>
      </c>
      <c r="G91" s="88" t="s">
        <v>464</v>
      </c>
      <c r="H91" s="88" t="s">
        <v>85</v>
      </c>
      <c r="I91" s="88" t="s">
        <v>465</v>
      </c>
    </row>
    <row r="92" spans="1:9" s="88" customFormat="1" ht="30">
      <c r="A92" s="88">
        <f t="shared" si="1"/>
        <v>90</v>
      </c>
      <c r="B92" s="90" t="s">
        <v>466</v>
      </c>
      <c r="C92" s="88" t="s">
        <v>467</v>
      </c>
      <c r="D92" s="88" t="s">
        <v>225</v>
      </c>
      <c r="E92" s="88" t="s">
        <v>225</v>
      </c>
      <c r="F92" s="88" t="s">
        <v>225</v>
      </c>
      <c r="G92" s="88" t="s">
        <v>225</v>
      </c>
      <c r="H92" s="88" t="s">
        <v>85</v>
      </c>
      <c r="I92" s="88" t="s">
        <v>468</v>
      </c>
    </row>
    <row r="93" spans="1:9" s="88" customFormat="1" ht="30">
      <c r="A93" s="88">
        <f t="shared" si="1"/>
        <v>91</v>
      </c>
      <c r="B93" s="90" t="s">
        <v>469</v>
      </c>
      <c r="C93" s="88" t="s">
        <v>472</v>
      </c>
      <c r="D93" s="88" t="s">
        <v>225</v>
      </c>
      <c r="E93" s="88" t="s">
        <v>225</v>
      </c>
      <c r="F93" s="88" t="s">
        <v>225</v>
      </c>
      <c r="G93" s="88" t="s">
        <v>473</v>
      </c>
      <c r="H93" s="88" t="s">
        <v>470</v>
      </c>
      <c r="I93" s="88" t="s">
        <v>471</v>
      </c>
    </row>
    <row r="94" spans="1:9" s="88" customFormat="1">
      <c r="A94" s="88">
        <f t="shared" si="1"/>
        <v>92</v>
      </c>
      <c r="B94" s="90" t="s">
        <v>474</v>
      </c>
      <c r="C94" s="88" t="s">
        <v>476</v>
      </c>
      <c r="D94" s="88" t="s">
        <v>225</v>
      </c>
      <c r="E94" s="88" t="s">
        <v>225</v>
      </c>
      <c r="F94" s="88" t="s">
        <v>225</v>
      </c>
      <c r="G94" s="88" t="s">
        <v>475</v>
      </c>
      <c r="H94" s="88" t="s">
        <v>478</v>
      </c>
      <c r="I94" s="88" t="s">
        <v>477</v>
      </c>
    </row>
    <row r="95" spans="1:9" s="88" customFormat="1">
      <c r="A95" s="88">
        <f t="shared" si="1"/>
        <v>93</v>
      </c>
      <c r="B95" s="90" t="s">
        <v>479</v>
      </c>
      <c r="C95" s="88" t="s">
        <v>480</v>
      </c>
      <c r="D95" s="88" t="s">
        <v>225</v>
      </c>
      <c r="E95" s="88" t="s">
        <v>225</v>
      </c>
      <c r="F95" s="88" t="s">
        <v>225</v>
      </c>
      <c r="G95" s="88" t="s">
        <v>481</v>
      </c>
      <c r="H95" s="88" t="s">
        <v>249</v>
      </c>
      <c r="I95" s="88" t="s">
        <v>482</v>
      </c>
    </row>
    <row r="96" spans="1:9" s="88" customFormat="1">
      <c r="A96" s="88">
        <f t="shared" si="1"/>
        <v>94</v>
      </c>
      <c r="B96" s="90" t="s">
        <v>483</v>
      </c>
      <c r="C96" s="88" t="s">
        <v>487</v>
      </c>
      <c r="D96" s="88" t="s">
        <v>225</v>
      </c>
      <c r="E96" s="88" t="s">
        <v>225</v>
      </c>
      <c r="F96" s="88" t="s">
        <v>225</v>
      </c>
      <c r="G96" s="88" t="s">
        <v>488</v>
      </c>
      <c r="H96" s="88" t="s">
        <v>478</v>
      </c>
      <c r="I96" s="88" t="s">
        <v>484</v>
      </c>
    </row>
    <row r="97" spans="1:9" s="88" customFormat="1">
      <c r="A97" s="88">
        <f t="shared" si="1"/>
        <v>95</v>
      </c>
      <c r="B97" s="90" t="s">
        <v>485</v>
      </c>
      <c r="C97" s="88" t="s">
        <v>491</v>
      </c>
      <c r="D97" s="88" t="s">
        <v>225</v>
      </c>
      <c r="E97" s="88" t="s">
        <v>225</v>
      </c>
      <c r="F97" s="88" t="s">
        <v>225</v>
      </c>
      <c r="G97" s="88" t="s">
        <v>490</v>
      </c>
      <c r="H97" s="88" t="s">
        <v>85</v>
      </c>
      <c r="I97" s="88" t="s">
        <v>489</v>
      </c>
    </row>
    <row r="98" spans="1:9" s="88" customFormat="1">
      <c r="A98" s="88">
        <f t="shared" si="1"/>
        <v>96</v>
      </c>
      <c r="B98" s="90" t="s">
        <v>714</v>
      </c>
      <c r="C98" s="88" t="s">
        <v>715</v>
      </c>
      <c r="D98" s="88" t="s">
        <v>225</v>
      </c>
      <c r="E98" s="88" t="s">
        <v>225</v>
      </c>
      <c r="F98" s="88" t="s">
        <v>225</v>
      </c>
      <c r="G98" s="88" t="s">
        <v>716</v>
      </c>
      <c r="H98" s="88" t="s">
        <v>486</v>
      </c>
      <c r="I98" s="88" t="s">
        <v>492</v>
      </c>
    </row>
    <row r="99" spans="1:9" s="88" customFormat="1" ht="45">
      <c r="A99" s="88">
        <f t="shared" si="1"/>
        <v>97</v>
      </c>
      <c r="B99" s="90" t="s">
        <v>493</v>
      </c>
      <c r="C99" s="88" t="s">
        <v>496</v>
      </c>
      <c r="D99" s="88" t="s">
        <v>225</v>
      </c>
      <c r="E99" s="88" t="s">
        <v>225</v>
      </c>
      <c r="F99" s="88" t="s">
        <v>225</v>
      </c>
      <c r="G99" s="88" t="s">
        <v>494</v>
      </c>
      <c r="H99" s="88" t="s">
        <v>397</v>
      </c>
      <c r="I99" s="88" t="s">
        <v>495</v>
      </c>
    </row>
    <row r="100" spans="1:9" s="88" customFormat="1">
      <c r="A100" s="88">
        <f t="shared" si="1"/>
        <v>98</v>
      </c>
      <c r="B100" s="90" t="s">
        <v>501</v>
      </c>
      <c r="C100" s="88" t="s">
        <v>502</v>
      </c>
      <c r="D100" s="88" t="s">
        <v>225</v>
      </c>
      <c r="E100" s="88" t="s">
        <v>225</v>
      </c>
      <c r="F100" s="88" t="s">
        <v>225</v>
      </c>
      <c r="G100" s="88" t="s">
        <v>500</v>
      </c>
      <c r="H100" s="88" t="s">
        <v>85</v>
      </c>
      <c r="I100" s="88" t="s">
        <v>499</v>
      </c>
    </row>
    <row r="101" spans="1:9" s="88" customFormat="1" ht="30">
      <c r="A101" s="88">
        <f t="shared" si="1"/>
        <v>99</v>
      </c>
      <c r="B101" s="90" t="s">
        <v>503</v>
      </c>
      <c r="C101" s="88" t="s">
        <v>504</v>
      </c>
      <c r="D101" s="88" t="s">
        <v>225</v>
      </c>
      <c r="E101" s="88" t="s">
        <v>225</v>
      </c>
      <c r="F101" s="88" t="s">
        <v>225</v>
      </c>
      <c r="G101" s="88" t="s">
        <v>506</v>
      </c>
      <c r="H101" s="88" t="s">
        <v>85</v>
      </c>
      <c r="I101" s="88" t="s">
        <v>505</v>
      </c>
    </row>
    <row r="102" spans="1:9" s="88" customFormat="1">
      <c r="A102" s="88">
        <f t="shared" si="1"/>
        <v>100</v>
      </c>
      <c r="B102" s="90" t="s">
        <v>509</v>
      </c>
      <c r="C102" s="88" t="s">
        <v>510</v>
      </c>
      <c r="D102" s="88" t="s">
        <v>919</v>
      </c>
      <c r="E102" s="88" t="s">
        <v>920</v>
      </c>
      <c r="F102" s="88" t="s">
        <v>218</v>
      </c>
      <c r="G102" s="88" t="s">
        <v>507</v>
      </c>
      <c r="H102" s="88" t="s">
        <v>85</v>
      </c>
      <c r="I102" s="88" t="s">
        <v>508</v>
      </c>
    </row>
    <row r="103" spans="1:9" s="88" customFormat="1">
      <c r="A103" s="88">
        <f t="shared" si="1"/>
        <v>101</v>
      </c>
      <c r="B103" s="90" t="s">
        <v>511</v>
      </c>
      <c r="C103" s="88" t="s">
        <v>514</v>
      </c>
      <c r="D103" s="88" t="s">
        <v>225</v>
      </c>
      <c r="E103" s="88" t="s">
        <v>225</v>
      </c>
      <c r="F103" s="88" t="s">
        <v>225</v>
      </c>
      <c r="G103" s="88" t="s">
        <v>512</v>
      </c>
      <c r="H103" s="88" t="s">
        <v>85</v>
      </c>
      <c r="I103" s="88" t="s">
        <v>513</v>
      </c>
    </row>
    <row r="104" spans="1:9" s="88" customFormat="1">
      <c r="A104" s="88">
        <f t="shared" si="1"/>
        <v>102</v>
      </c>
      <c r="B104" s="90" t="s">
        <v>521</v>
      </c>
      <c r="C104" s="88" t="s">
        <v>522</v>
      </c>
      <c r="D104" s="88" t="s">
        <v>225</v>
      </c>
      <c r="E104" s="88" t="s">
        <v>225</v>
      </c>
      <c r="F104" s="88" t="s">
        <v>225</v>
      </c>
      <c r="G104" s="88" t="s">
        <v>516</v>
      </c>
      <c r="H104" s="88" t="s">
        <v>225</v>
      </c>
      <c r="I104" s="88" t="s">
        <v>520</v>
      </c>
    </row>
    <row r="105" spans="1:9" s="88" customFormat="1">
      <c r="A105" s="88">
        <f t="shared" si="1"/>
        <v>103</v>
      </c>
      <c r="B105" s="90" t="s">
        <v>515</v>
      </c>
      <c r="C105" s="88" t="s">
        <v>518</v>
      </c>
      <c r="D105" s="88" t="s">
        <v>225</v>
      </c>
      <c r="E105" s="88" t="s">
        <v>225</v>
      </c>
      <c r="F105" s="88" t="s">
        <v>225</v>
      </c>
      <c r="G105" s="88" t="s">
        <v>517</v>
      </c>
      <c r="H105" s="88" t="s">
        <v>515</v>
      </c>
      <c r="I105" s="88" t="s">
        <v>519</v>
      </c>
    </row>
    <row r="106" spans="1:9" s="88" customFormat="1">
      <c r="A106" s="88">
        <f t="shared" si="1"/>
        <v>104</v>
      </c>
      <c r="B106" s="90" t="s">
        <v>525</v>
      </c>
      <c r="C106" s="88" t="s">
        <v>527</v>
      </c>
      <c r="D106" s="88" t="s">
        <v>225</v>
      </c>
      <c r="E106" s="88" t="s">
        <v>225</v>
      </c>
      <c r="F106" s="88" t="s">
        <v>225</v>
      </c>
      <c r="G106" s="88" t="s">
        <v>523</v>
      </c>
      <c r="H106" s="88" t="s">
        <v>524</v>
      </c>
      <c r="I106" s="88" t="s">
        <v>526</v>
      </c>
    </row>
    <row r="107" spans="1:9" s="88" customFormat="1" ht="30">
      <c r="A107" s="88">
        <f t="shared" si="1"/>
        <v>105</v>
      </c>
      <c r="B107" s="90" t="s">
        <v>528</v>
      </c>
      <c r="C107" s="88" t="s">
        <v>529</v>
      </c>
      <c r="D107" s="88" t="s">
        <v>225</v>
      </c>
      <c r="E107" s="88" t="s">
        <v>225</v>
      </c>
      <c r="F107" s="88" t="s">
        <v>225</v>
      </c>
      <c r="G107" s="88" t="s">
        <v>530</v>
      </c>
      <c r="H107" s="88" t="s">
        <v>85</v>
      </c>
      <c r="I107" s="88" t="s">
        <v>531</v>
      </c>
    </row>
    <row r="108" spans="1:9" s="88" customFormat="1">
      <c r="A108" s="88">
        <f t="shared" si="1"/>
        <v>106</v>
      </c>
      <c r="B108" s="90" t="s">
        <v>532</v>
      </c>
      <c r="C108" s="88" t="s">
        <v>537</v>
      </c>
      <c r="D108" s="88" t="s">
        <v>225</v>
      </c>
      <c r="E108" s="88" t="s">
        <v>225</v>
      </c>
      <c r="F108" s="88" t="s">
        <v>225</v>
      </c>
      <c r="G108" s="88" t="s">
        <v>535</v>
      </c>
      <c r="H108" s="88" t="s">
        <v>533</v>
      </c>
      <c r="I108" s="88" t="s">
        <v>534</v>
      </c>
    </row>
    <row r="109" spans="1:9" s="88" customFormat="1">
      <c r="A109" s="88">
        <f t="shared" si="1"/>
        <v>107</v>
      </c>
      <c r="B109" s="90" t="s">
        <v>542</v>
      </c>
      <c r="C109" s="88" t="s">
        <v>543</v>
      </c>
      <c r="D109" s="88" t="s">
        <v>225</v>
      </c>
      <c r="E109" s="88" t="s">
        <v>225</v>
      </c>
      <c r="F109" s="88" t="s">
        <v>225</v>
      </c>
      <c r="G109" s="88" t="s">
        <v>544</v>
      </c>
      <c r="H109" s="88" t="s">
        <v>85</v>
      </c>
      <c r="I109" s="88" t="s">
        <v>545</v>
      </c>
    </row>
    <row r="110" spans="1:9" s="88" customFormat="1">
      <c r="A110" s="88">
        <f t="shared" si="1"/>
        <v>108</v>
      </c>
      <c r="B110" s="90" t="s">
        <v>546</v>
      </c>
      <c r="C110" s="88" t="s">
        <v>547</v>
      </c>
      <c r="D110" s="88" t="s">
        <v>829</v>
      </c>
      <c r="E110" s="88" t="s">
        <v>830</v>
      </c>
      <c r="F110" s="88" t="s">
        <v>218</v>
      </c>
      <c r="G110" s="88" t="s">
        <v>548</v>
      </c>
      <c r="H110" s="88" t="s">
        <v>85</v>
      </c>
      <c r="I110" s="88" t="s">
        <v>549</v>
      </c>
    </row>
    <row r="111" spans="1:9" s="88" customFormat="1">
      <c r="A111" s="88">
        <f t="shared" si="1"/>
        <v>109</v>
      </c>
      <c r="B111" s="90" t="s">
        <v>550</v>
      </c>
      <c r="C111" s="88" t="s">
        <v>551</v>
      </c>
      <c r="D111" s="88" t="s">
        <v>225</v>
      </c>
      <c r="E111" s="88" t="s">
        <v>225</v>
      </c>
      <c r="F111" s="88" t="s">
        <v>225</v>
      </c>
      <c r="G111" s="88" t="s">
        <v>553</v>
      </c>
      <c r="H111" s="88" t="s">
        <v>85</v>
      </c>
      <c r="I111" s="88" t="s">
        <v>552</v>
      </c>
    </row>
    <row r="112" spans="1:9" s="88" customFormat="1">
      <c r="A112" s="88">
        <f t="shared" si="1"/>
        <v>110</v>
      </c>
      <c r="B112" s="90" t="s">
        <v>554</v>
      </c>
      <c r="C112" s="88" t="s">
        <v>555</v>
      </c>
      <c r="D112" s="88" t="s">
        <v>225</v>
      </c>
      <c r="E112" s="88" t="s">
        <v>225</v>
      </c>
      <c r="F112" s="88" t="s">
        <v>225</v>
      </c>
      <c r="G112" s="88" t="s">
        <v>556</v>
      </c>
      <c r="H112" s="88" t="s">
        <v>557</v>
      </c>
      <c r="I112" s="88" t="s">
        <v>558</v>
      </c>
    </row>
    <row r="113" spans="1:9" s="88" customFormat="1">
      <c r="A113" s="88">
        <f t="shared" si="1"/>
        <v>111</v>
      </c>
      <c r="B113" s="90" t="s">
        <v>567</v>
      </c>
      <c r="C113" s="88" t="s">
        <v>747</v>
      </c>
      <c r="D113" s="88" t="s">
        <v>225</v>
      </c>
      <c r="E113" s="88" t="s">
        <v>225</v>
      </c>
      <c r="F113" s="88" t="s">
        <v>225</v>
      </c>
      <c r="G113" s="88" t="s">
        <v>572</v>
      </c>
      <c r="H113" s="88" t="s">
        <v>192</v>
      </c>
      <c r="I113" s="88" t="s">
        <v>746</v>
      </c>
    </row>
    <row r="114" spans="1:9" s="88" customFormat="1">
      <c r="A114" s="88">
        <f t="shared" si="1"/>
        <v>112</v>
      </c>
      <c r="B114" s="90" t="s">
        <v>569</v>
      </c>
      <c r="C114" s="88" t="s">
        <v>570</v>
      </c>
      <c r="D114" s="88" t="s">
        <v>225</v>
      </c>
      <c r="E114" s="88" t="s">
        <v>225</v>
      </c>
      <c r="F114" s="88" t="s">
        <v>225</v>
      </c>
      <c r="G114" s="88" t="s">
        <v>225</v>
      </c>
      <c r="H114" s="88" t="s">
        <v>568</v>
      </c>
      <c r="I114" s="88" t="s">
        <v>571</v>
      </c>
    </row>
    <row r="115" spans="1:9" s="88" customFormat="1">
      <c r="A115" s="88">
        <f t="shared" si="1"/>
        <v>113</v>
      </c>
      <c r="B115" s="90" t="s">
        <v>574</v>
      </c>
      <c r="C115" s="88" t="s">
        <v>575</v>
      </c>
      <c r="D115" s="88" t="s">
        <v>225</v>
      </c>
      <c r="E115" s="88" t="s">
        <v>225</v>
      </c>
      <c r="F115" s="88" t="s">
        <v>225</v>
      </c>
      <c r="G115" s="88" t="s">
        <v>225</v>
      </c>
      <c r="H115" s="88" t="s">
        <v>576</v>
      </c>
      <c r="I115" s="88" t="s">
        <v>577</v>
      </c>
    </row>
    <row r="116" spans="1:9" s="88" customFormat="1" ht="30">
      <c r="A116" s="88">
        <f t="shared" si="1"/>
        <v>114</v>
      </c>
      <c r="B116" s="90" t="s">
        <v>578</v>
      </c>
      <c r="C116" s="88" t="s">
        <v>579</v>
      </c>
      <c r="D116" s="88" t="s">
        <v>225</v>
      </c>
      <c r="E116" s="88" t="s">
        <v>225</v>
      </c>
      <c r="F116" s="88" t="s">
        <v>225</v>
      </c>
    </row>
    <row r="117" spans="1:9" s="88" customFormat="1">
      <c r="A117" s="88">
        <f t="shared" si="1"/>
        <v>115</v>
      </c>
      <c r="B117" s="90" t="s">
        <v>583</v>
      </c>
      <c r="C117" s="88" t="s">
        <v>580</v>
      </c>
      <c r="D117" s="88" t="s">
        <v>225</v>
      </c>
      <c r="E117" s="88" t="s">
        <v>225</v>
      </c>
      <c r="F117" s="88" t="s">
        <v>225</v>
      </c>
      <c r="G117" s="88" t="s">
        <v>581</v>
      </c>
      <c r="H117" s="88" t="s">
        <v>85</v>
      </c>
      <c r="I117" s="88" t="s">
        <v>582</v>
      </c>
    </row>
    <row r="118" spans="1:9" s="88" customFormat="1">
      <c r="A118" s="88">
        <f t="shared" si="1"/>
        <v>116</v>
      </c>
      <c r="B118" s="90" t="s">
        <v>584</v>
      </c>
      <c r="C118" s="88" t="s">
        <v>585</v>
      </c>
      <c r="D118" s="88" t="s">
        <v>901</v>
      </c>
      <c r="E118" s="88" t="s">
        <v>902</v>
      </c>
      <c r="F118" s="88" t="s">
        <v>218</v>
      </c>
      <c r="G118" s="88" t="s">
        <v>586</v>
      </c>
      <c r="H118" s="88" t="s">
        <v>85</v>
      </c>
      <c r="I118" s="88" t="s">
        <v>587</v>
      </c>
    </row>
    <row r="119" spans="1:9" s="88" customFormat="1">
      <c r="A119" s="88">
        <f t="shared" si="1"/>
        <v>117</v>
      </c>
      <c r="B119" s="90" t="s">
        <v>588</v>
      </c>
      <c r="C119" s="88" t="s">
        <v>589</v>
      </c>
      <c r="D119" s="88" t="s">
        <v>225</v>
      </c>
      <c r="E119" s="88" t="s">
        <v>225</v>
      </c>
      <c r="F119" s="88" t="s">
        <v>225</v>
      </c>
      <c r="G119" s="88" t="s">
        <v>590</v>
      </c>
      <c r="H119" s="88" t="s">
        <v>85</v>
      </c>
      <c r="I119" s="88" t="s">
        <v>591</v>
      </c>
    </row>
    <row r="120" spans="1:9" s="88" customFormat="1" ht="45">
      <c r="A120" s="88">
        <f t="shared" si="1"/>
        <v>118</v>
      </c>
      <c r="B120" s="90" t="s">
        <v>592</v>
      </c>
      <c r="C120" s="88" t="s">
        <v>593</v>
      </c>
      <c r="D120" s="88" t="s">
        <v>225</v>
      </c>
      <c r="E120" s="88" t="s">
        <v>225</v>
      </c>
      <c r="F120" s="88" t="s">
        <v>225</v>
      </c>
      <c r="G120" s="88" t="s">
        <v>594</v>
      </c>
      <c r="H120" s="88" t="s">
        <v>595</v>
      </c>
      <c r="I120" s="88" t="s">
        <v>596</v>
      </c>
    </row>
    <row r="121" spans="1:9" s="88" customFormat="1">
      <c r="A121" s="88">
        <f t="shared" si="1"/>
        <v>119</v>
      </c>
      <c r="B121" s="90" t="s">
        <v>597</v>
      </c>
      <c r="C121" s="88" t="s">
        <v>598</v>
      </c>
      <c r="D121" s="88" t="s">
        <v>225</v>
      </c>
      <c r="E121" s="88" t="s">
        <v>225</v>
      </c>
      <c r="F121" s="88" t="s">
        <v>225</v>
      </c>
      <c r="G121" s="88" t="s">
        <v>599</v>
      </c>
      <c r="H121" s="88" t="s">
        <v>600</v>
      </c>
      <c r="I121" s="88" t="s">
        <v>601</v>
      </c>
    </row>
    <row r="122" spans="1:9" s="88" customFormat="1">
      <c r="A122" s="88">
        <f t="shared" si="1"/>
        <v>120</v>
      </c>
      <c r="B122" s="90" t="s">
        <v>602</v>
      </c>
      <c r="C122" s="88" t="s">
        <v>604</v>
      </c>
      <c r="D122" s="88" t="s">
        <v>225</v>
      </c>
      <c r="E122" s="88" t="s">
        <v>225</v>
      </c>
      <c r="F122" s="88" t="s">
        <v>225</v>
      </c>
      <c r="G122" s="88" t="s">
        <v>603</v>
      </c>
      <c r="H122" s="88" t="s">
        <v>85</v>
      </c>
      <c r="I122" s="88" t="s">
        <v>605</v>
      </c>
    </row>
    <row r="123" spans="1:9" s="88" customFormat="1">
      <c r="A123" s="88">
        <f t="shared" si="1"/>
        <v>121</v>
      </c>
      <c r="B123" s="90" t="s">
        <v>612</v>
      </c>
      <c r="C123" s="88" t="s">
        <v>606</v>
      </c>
      <c r="D123" s="88" t="s">
        <v>225</v>
      </c>
      <c r="E123" s="88" t="s">
        <v>225</v>
      </c>
      <c r="F123" s="88" t="s">
        <v>225</v>
      </c>
      <c r="G123" s="88" t="s">
        <v>607</v>
      </c>
      <c r="H123" s="88" t="s">
        <v>397</v>
      </c>
      <c r="I123" s="88" t="s">
        <v>613</v>
      </c>
    </row>
    <row r="124" spans="1:9" s="88" customFormat="1">
      <c r="A124" s="88">
        <f t="shared" si="1"/>
        <v>122</v>
      </c>
      <c r="B124" s="90" t="s">
        <v>608</v>
      </c>
      <c r="C124" s="88" t="s">
        <v>609</v>
      </c>
      <c r="D124" s="88" t="s">
        <v>225</v>
      </c>
      <c r="E124" s="88" t="s">
        <v>225</v>
      </c>
      <c r="F124" s="88" t="s">
        <v>225</v>
      </c>
      <c r="G124" s="88" t="s">
        <v>610</v>
      </c>
      <c r="H124" s="88" t="s">
        <v>85</v>
      </c>
      <c r="I124" s="88" t="s">
        <v>611</v>
      </c>
    </row>
    <row r="125" spans="1:9" s="88" customFormat="1">
      <c r="A125" s="88">
        <f t="shared" si="1"/>
        <v>123</v>
      </c>
      <c r="B125" s="90" t="s">
        <v>614</v>
      </c>
      <c r="C125" s="88" t="s">
        <v>619</v>
      </c>
      <c r="D125" s="88" t="s">
        <v>225</v>
      </c>
      <c r="E125" s="88" t="s">
        <v>225</v>
      </c>
      <c r="F125" s="88" t="s">
        <v>225</v>
      </c>
      <c r="G125" s="88" t="s">
        <v>615</v>
      </c>
      <c r="H125" s="88" t="s">
        <v>85</v>
      </c>
      <c r="I125" s="88" t="s">
        <v>616</v>
      </c>
    </row>
    <row r="126" spans="1:9" s="88" customFormat="1">
      <c r="A126" s="88">
        <f t="shared" si="1"/>
        <v>124</v>
      </c>
      <c r="B126" s="90" t="s">
        <v>620</v>
      </c>
      <c r="C126" s="88" t="s">
        <v>621</v>
      </c>
      <c r="D126" s="88" t="s">
        <v>225</v>
      </c>
      <c r="E126" s="88" t="s">
        <v>225</v>
      </c>
      <c r="F126" s="88" t="s">
        <v>225</v>
      </c>
      <c r="G126" s="88" t="s">
        <v>622</v>
      </c>
      <c r="H126" s="88" t="s">
        <v>85</v>
      </c>
      <c r="I126" s="88" t="s">
        <v>623</v>
      </c>
    </row>
    <row r="127" spans="1:9" s="88" customFormat="1">
      <c r="A127" s="88">
        <f t="shared" si="1"/>
        <v>125</v>
      </c>
      <c r="B127" s="90" t="s">
        <v>625</v>
      </c>
      <c r="C127" s="88" t="s">
        <v>626</v>
      </c>
      <c r="D127" s="88" t="s">
        <v>225</v>
      </c>
      <c r="E127" s="88" t="s">
        <v>225</v>
      </c>
      <c r="F127" s="88" t="s">
        <v>225</v>
      </c>
      <c r="G127" s="88" t="s">
        <v>624</v>
      </c>
      <c r="H127" s="88" t="s">
        <v>85</v>
      </c>
      <c r="I127" s="88" t="s">
        <v>627</v>
      </c>
    </row>
    <row r="128" spans="1:9" s="88" customFormat="1">
      <c r="A128" s="88">
        <f t="shared" si="1"/>
        <v>126</v>
      </c>
      <c r="B128" s="90" t="s">
        <v>629</v>
      </c>
      <c r="C128" s="88" t="s">
        <v>631</v>
      </c>
      <c r="D128" s="88" t="s">
        <v>225</v>
      </c>
      <c r="E128" s="88" t="s">
        <v>225</v>
      </c>
      <c r="F128" s="88" t="s">
        <v>225</v>
      </c>
      <c r="G128" s="88" t="s">
        <v>628</v>
      </c>
      <c r="H128" s="88" t="s">
        <v>85</v>
      </c>
      <c r="I128" s="88" t="s">
        <v>630</v>
      </c>
    </row>
    <row r="129" spans="1:9" s="88" customFormat="1">
      <c r="A129" s="88">
        <f t="shared" si="1"/>
        <v>127</v>
      </c>
      <c r="B129" s="90" t="s">
        <v>633</v>
      </c>
      <c r="C129" s="88" t="s">
        <v>634</v>
      </c>
      <c r="D129" s="88" t="s">
        <v>225</v>
      </c>
      <c r="E129" s="88" t="s">
        <v>225</v>
      </c>
      <c r="F129" s="88" t="s">
        <v>225</v>
      </c>
      <c r="G129" s="88" t="s">
        <v>635</v>
      </c>
      <c r="H129" s="88" t="s">
        <v>478</v>
      </c>
      <c r="I129" s="88" t="s">
        <v>636</v>
      </c>
    </row>
    <row r="130" spans="1:9" s="88" customFormat="1">
      <c r="A130" s="88">
        <f t="shared" si="1"/>
        <v>128</v>
      </c>
      <c r="B130" s="90" t="s">
        <v>637</v>
      </c>
      <c r="C130" s="88" t="s">
        <v>638</v>
      </c>
      <c r="D130" s="88" t="s">
        <v>225</v>
      </c>
      <c r="E130" s="88" t="s">
        <v>225</v>
      </c>
      <c r="F130" s="88" t="s">
        <v>225</v>
      </c>
      <c r="G130" s="88" t="s">
        <v>639</v>
      </c>
      <c r="H130" s="88" t="s">
        <v>524</v>
      </c>
      <c r="I130" s="88" t="s">
        <v>640</v>
      </c>
    </row>
    <row r="131" spans="1:9" s="88" customFormat="1" ht="30">
      <c r="A131" s="88">
        <f t="shared" si="1"/>
        <v>129</v>
      </c>
      <c r="B131" s="90" t="s">
        <v>641</v>
      </c>
      <c r="C131" s="88" t="s">
        <v>645</v>
      </c>
      <c r="D131" s="88" t="s">
        <v>225</v>
      </c>
      <c r="E131" s="88" t="s">
        <v>225</v>
      </c>
      <c r="F131" s="88" t="s">
        <v>225</v>
      </c>
      <c r="G131" s="88" t="s">
        <v>642</v>
      </c>
      <c r="H131" s="88" t="s">
        <v>643</v>
      </c>
      <c r="I131" s="88" t="s">
        <v>644</v>
      </c>
    </row>
    <row r="132" spans="1:9" s="88" customFormat="1">
      <c r="A132" s="88">
        <f t="shared" si="1"/>
        <v>130</v>
      </c>
      <c r="B132" s="90" t="s">
        <v>646</v>
      </c>
      <c r="C132" s="88" t="s">
        <v>647</v>
      </c>
      <c r="D132" s="88" t="s">
        <v>944</v>
      </c>
      <c r="E132" s="88" t="s">
        <v>945</v>
      </c>
      <c r="F132" s="88" t="s">
        <v>218</v>
      </c>
      <c r="G132" s="88" t="s">
        <v>648</v>
      </c>
      <c r="H132" s="88" t="s">
        <v>85</v>
      </c>
      <c r="I132" s="88" t="s">
        <v>649</v>
      </c>
    </row>
    <row r="133" spans="1:9" s="88" customFormat="1" ht="30">
      <c r="A133" s="88">
        <f t="shared" si="1"/>
        <v>131</v>
      </c>
      <c r="B133" s="90" t="s">
        <v>650</v>
      </c>
      <c r="C133" s="88" t="s">
        <v>651</v>
      </c>
      <c r="D133" s="88" t="s">
        <v>225</v>
      </c>
      <c r="E133" s="88" t="s">
        <v>225</v>
      </c>
      <c r="F133" s="88" t="s">
        <v>225</v>
      </c>
      <c r="G133" s="89" t="s">
        <v>661</v>
      </c>
      <c r="H133" s="88" t="s">
        <v>85</v>
      </c>
      <c r="I133" s="88" t="s">
        <v>652</v>
      </c>
    </row>
    <row r="134" spans="1:9" s="88" customFormat="1" ht="30">
      <c r="A134" s="88">
        <f t="shared" si="1"/>
        <v>132</v>
      </c>
      <c r="B134" s="90" t="s">
        <v>656</v>
      </c>
      <c r="C134" s="88" t="s">
        <v>657</v>
      </c>
      <c r="D134" s="88" t="s">
        <v>225</v>
      </c>
      <c r="E134" s="88" t="s">
        <v>225</v>
      </c>
      <c r="F134" s="88" t="s">
        <v>225</v>
      </c>
      <c r="G134" s="88" t="s">
        <v>653</v>
      </c>
      <c r="H134" s="88" t="s">
        <v>654</v>
      </c>
      <c r="I134" s="88" t="s">
        <v>655</v>
      </c>
    </row>
    <row r="135" spans="1:9" s="88" customFormat="1">
      <c r="A135" s="88">
        <f t="shared" si="1"/>
        <v>133</v>
      </c>
      <c r="B135" s="90" t="s">
        <v>658</v>
      </c>
      <c r="C135" s="88" t="s">
        <v>659</v>
      </c>
      <c r="D135" s="88" t="s">
        <v>225</v>
      </c>
      <c r="E135" s="88" t="s">
        <v>225</v>
      </c>
      <c r="F135" s="88" t="s">
        <v>225</v>
      </c>
      <c r="G135" s="89" t="s">
        <v>662</v>
      </c>
      <c r="H135" s="88" t="s">
        <v>85</v>
      </c>
      <c r="I135" s="88" t="s">
        <v>660</v>
      </c>
    </row>
    <row r="136" spans="1:9" s="88" customFormat="1">
      <c r="A136" s="88">
        <f t="shared" ref="A136:A182" si="2">A135+1</f>
        <v>134</v>
      </c>
      <c r="B136" s="90" t="s">
        <v>667</v>
      </c>
      <c r="C136" s="88" t="s">
        <v>668</v>
      </c>
      <c r="D136" s="88" t="s">
        <v>225</v>
      </c>
      <c r="E136" s="88" t="s">
        <v>225</v>
      </c>
      <c r="F136" s="88" t="s">
        <v>225</v>
      </c>
      <c r="G136" s="89" t="s">
        <v>669</v>
      </c>
      <c r="H136" s="89" t="s">
        <v>670</v>
      </c>
      <c r="I136" s="88" t="s">
        <v>671</v>
      </c>
    </row>
    <row r="137" spans="1:9" s="88" customFormat="1">
      <c r="A137" s="88">
        <f t="shared" si="2"/>
        <v>135</v>
      </c>
      <c r="B137" s="90" t="s">
        <v>672</v>
      </c>
      <c r="C137" s="88" t="s">
        <v>673</v>
      </c>
      <c r="D137" s="88" t="s">
        <v>887</v>
      </c>
      <c r="E137" s="88" t="s">
        <v>888</v>
      </c>
      <c r="F137" s="88" t="s">
        <v>218</v>
      </c>
      <c r="G137" s="89" t="s">
        <v>686</v>
      </c>
      <c r="H137" s="89" t="s">
        <v>228</v>
      </c>
      <c r="I137" s="88" t="s">
        <v>687</v>
      </c>
    </row>
    <row r="138" spans="1:9" s="88" customFormat="1">
      <c r="A138" s="88">
        <f t="shared" si="2"/>
        <v>136</v>
      </c>
      <c r="B138" s="90" t="s">
        <v>674</v>
      </c>
      <c r="C138" s="88" t="s">
        <v>675</v>
      </c>
      <c r="D138" s="88" t="s">
        <v>225</v>
      </c>
      <c r="E138" s="88" t="s">
        <v>225</v>
      </c>
      <c r="F138" s="88" t="s">
        <v>225</v>
      </c>
      <c r="G138" s="89" t="s">
        <v>676</v>
      </c>
      <c r="H138" s="89" t="s">
        <v>677</v>
      </c>
      <c r="I138" s="88" t="s">
        <v>678</v>
      </c>
    </row>
    <row r="139" spans="1:9" s="88" customFormat="1">
      <c r="A139" s="88">
        <f t="shared" si="2"/>
        <v>137</v>
      </c>
      <c r="B139" s="90" t="s">
        <v>682</v>
      </c>
      <c r="C139" s="88" t="s">
        <v>683</v>
      </c>
      <c r="D139" s="88" t="s">
        <v>225</v>
      </c>
      <c r="E139" s="88" t="s">
        <v>225</v>
      </c>
      <c r="F139" s="88" t="s">
        <v>225</v>
      </c>
      <c r="G139" s="89" t="s">
        <v>684</v>
      </c>
      <c r="H139" s="89" t="s">
        <v>334</v>
      </c>
      <c r="I139" s="88" t="s">
        <v>685</v>
      </c>
    </row>
    <row r="140" spans="1:9" s="88" customFormat="1">
      <c r="A140" s="88">
        <f t="shared" si="2"/>
        <v>138</v>
      </c>
      <c r="B140" s="90" t="s">
        <v>688</v>
      </c>
      <c r="C140" s="88" t="s">
        <v>689</v>
      </c>
      <c r="D140" s="88" t="s">
        <v>225</v>
      </c>
      <c r="E140" s="88" t="s">
        <v>225</v>
      </c>
      <c r="F140" s="88" t="s">
        <v>225</v>
      </c>
      <c r="G140" s="89" t="s">
        <v>690</v>
      </c>
      <c r="H140" s="89" t="s">
        <v>691</v>
      </c>
      <c r="I140" s="88" t="s">
        <v>692</v>
      </c>
    </row>
    <row r="141" spans="1:9" s="88" customFormat="1" ht="30">
      <c r="A141" s="88">
        <f t="shared" si="2"/>
        <v>139</v>
      </c>
      <c r="B141" s="90" t="s">
        <v>693</v>
      </c>
      <c r="C141" s="88" t="s">
        <v>694</v>
      </c>
      <c r="D141" s="88" t="s">
        <v>225</v>
      </c>
      <c r="E141" s="88" t="s">
        <v>225</v>
      </c>
      <c r="F141" s="88" t="s">
        <v>225</v>
      </c>
      <c r="G141" s="89" t="s">
        <v>695</v>
      </c>
      <c r="H141" s="89" t="s">
        <v>85</v>
      </c>
      <c r="I141" s="88" t="s">
        <v>696</v>
      </c>
    </row>
    <row r="142" spans="1:9" s="88" customFormat="1" ht="30">
      <c r="A142" s="88">
        <f t="shared" si="2"/>
        <v>140</v>
      </c>
      <c r="B142" s="90" t="s">
        <v>697</v>
      </c>
      <c r="C142" s="88" t="s">
        <v>698</v>
      </c>
      <c r="D142" s="88" t="s">
        <v>225</v>
      </c>
      <c r="E142" s="88" t="s">
        <v>225</v>
      </c>
      <c r="F142" s="88" t="s">
        <v>225</v>
      </c>
      <c r="G142" s="89" t="s">
        <v>699</v>
      </c>
      <c r="H142" s="89" t="s">
        <v>700</v>
      </c>
      <c r="I142" s="89" t="s">
        <v>701</v>
      </c>
    </row>
    <row r="143" spans="1:9" s="88" customFormat="1" ht="30">
      <c r="A143" s="88">
        <f t="shared" si="2"/>
        <v>141</v>
      </c>
      <c r="B143" s="90" t="s">
        <v>702</v>
      </c>
      <c r="C143" s="88" t="s">
        <v>703</v>
      </c>
      <c r="D143" s="88" t="s">
        <v>225</v>
      </c>
      <c r="E143" s="88" t="s">
        <v>225</v>
      </c>
      <c r="F143" s="88" t="s">
        <v>225</v>
      </c>
      <c r="G143" s="89" t="s">
        <v>704</v>
      </c>
      <c r="H143" s="89" t="s">
        <v>85</v>
      </c>
      <c r="I143" s="89" t="s">
        <v>705</v>
      </c>
    </row>
    <row r="144" spans="1:9" s="88" customFormat="1">
      <c r="A144" s="88">
        <f t="shared" si="2"/>
        <v>142</v>
      </c>
      <c r="B144" s="91" t="s">
        <v>706</v>
      </c>
      <c r="C144" s="88" t="s">
        <v>707</v>
      </c>
      <c r="D144" s="88" t="s">
        <v>225</v>
      </c>
      <c r="E144" s="88" t="s">
        <v>225</v>
      </c>
      <c r="F144" s="88" t="s">
        <v>225</v>
      </c>
      <c r="G144" s="89" t="s">
        <v>708</v>
      </c>
      <c r="H144" s="89" t="s">
        <v>709</v>
      </c>
      <c r="I144" s="89" t="s">
        <v>710</v>
      </c>
    </row>
    <row r="145" spans="1:9" s="88" customFormat="1">
      <c r="A145" s="88">
        <f t="shared" si="2"/>
        <v>143</v>
      </c>
      <c r="B145" s="91" t="s">
        <v>717</v>
      </c>
      <c r="C145" s="88" t="s">
        <v>718</v>
      </c>
      <c r="D145" s="88" t="s">
        <v>874</v>
      </c>
      <c r="E145" s="88" t="s">
        <v>875</v>
      </c>
      <c r="F145" s="88" t="s">
        <v>218</v>
      </c>
      <c r="G145" s="89" t="s">
        <v>719</v>
      </c>
      <c r="H145" s="89" t="s">
        <v>85</v>
      </c>
      <c r="I145" s="89" t="s">
        <v>720</v>
      </c>
    </row>
    <row r="146" spans="1:9" s="88" customFormat="1">
      <c r="A146" s="88">
        <f t="shared" si="2"/>
        <v>144</v>
      </c>
      <c r="B146" s="91" t="s">
        <v>724</v>
      </c>
      <c r="C146" s="88" t="s">
        <v>725</v>
      </c>
      <c r="D146" s="88" t="s">
        <v>225</v>
      </c>
      <c r="E146" s="88" t="s">
        <v>225</v>
      </c>
      <c r="F146" s="88" t="s">
        <v>225</v>
      </c>
      <c r="G146" s="89" t="s">
        <v>726</v>
      </c>
      <c r="H146" s="89" t="s">
        <v>727</v>
      </c>
      <c r="I146" s="89" t="s">
        <v>728</v>
      </c>
    </row>
    <row r="147" spans="1:9" s="88" customFormat="1">
      <c r="A147" s="88">
        <f t="shared" si="2"/>
        <v>145</v>
      </c>
      <c r="B147" s="91" t="s">
        <v>729</v>
      </c>
      <c r="C147" s="88" t="s">
        <v>730</v>
      </c>
      <c r="D147" s="88" t="s">
        <v>225</v>
      </c>
      <c r="E147" s="88" t="s">
        <v>225</v>
      </c>
      <c r="F147" s="88" t="s">
        <v>225</v>
      </c>
      <c r="G147" s="89" t="s">
        <v>726</v>
      </c>
      <c r="H147" s="89" t="s">
        <v>85</v>
      </c>
      <c r="I147" s="89" t="s">
        <v>731</v>
      </c>
    </row>
    <row r="148" spans="1:9" s="88" customFormat="1" ht="30">
      <c r="A148" s="88">
        <f t="shared" si="2"/>
        <v>146</v>
      </c>
      <c r="B148" s="91" t="s">
        <v>732</v>
      </c>
      <c r="C148" s="88" t="s">
        <v>733</v>
      </c>
      <c r="D148" s="88" t="s">
        <v>225</v>
      </c>
      <c r="E148" s="88" t="s">
        <v>225</v>
      </c>
      <c r="F148" s="88" t="s">
        <v>225</v>
      </c>
      <c r="G148" s="89" t="s">
        <v>734</v>
      </c>
      <c r="H148" s="89" t="s">
        <v>735</v>
      </c>
      <c r="I148" s="89" t="s">
        <v>736</v>
      </c>
    </row>
    <row r="149" spans="1:9" s="88" customFormat="1">
      <c r="A149" s="88">
        <f t="shared" si="2"/>
        <v>147</v>
      </c>
      <c r="B149" s="91" t="s">
        <v>737</v>
      </c>
      <c r="C149" s="88" t="s">
        <v>738</v>
      </c>
      <c r="D149" s="88" t="s">
        <v>839</v>
      </c>
      <c r="E149" s="88" t="s">
        <v>840</v>
      </c>
      <c r="F149" s="88" t="s">
        <v>841</v>
      </c>
      <c r="G149" s="89" t="s">
        <v>739</v>
      </c>
      <c r="H149" s="89" t="s">
        <v>740</v>
      </c>
      <c r="I149" s="89" t="s">
        <v>741</v>
      </c>
    </row>
    <row r="150" spans="1:9" s="88" customFormat="1">
      <c r="A150" s="88">
        <f t="shared" si="2"/>
        <v>148</v>
      </c>
      <c r="B150" s="91" t="s">
        <v>742</v>
      </c>
      <c r="C150" s="88" t="s">
        <v>743</v>
      </c>
      <c r="D150" s="88" t="s">
        <v>225</v>
      </c>
      <c r="E150" s="88" t="s">
        <v>225</v>
      </c>
      <c r="F150" s="88" t="s">
        <v>225</v>
      </c>
      <c r="G150" s="89" t="s">
        <v>744</v>
      </c>
      <c r="H150" s="89" t="s">
        <v>249</v>
      </c>
      <c r="I150" s="89" t="s">
        <v>745</v>
      </c>
    </row>
    <row r="151" spans="1:9" s="88" customFormat="1">
      <c r="A151" s="88">
        <f t="shared" si="2"/>
        <v>149</v>
      </c>
      <c r="B151" s="91" t="s">
        <v>749</v>
      </c>
      <c r="C151" s="88" t="s">
        <v>750</v>
      </c>
      <c r="D151" s="88" t="s">
        <v>225</v>
      </c>
      <c r="E151" s="88" t="s">
        <v>225</v>
      </c>
      <c r="F151" s="88" t="s">
        <v>225</v>
      </c>
      <c r="G151" s="89" t="s">
        <v>753</v>
      </c>
      <c r="H151" s="89" t="s">
        <v>751</v>
      </c>
      <c r="I151" s="89" t="s">
        <v>752</v>
      </c>
    </row>
    <row r="152" spans="1:9" s="88" customFormat="1">
      <c r="A152" s="88">
        <f t="shared" si="2"/>
        <v>150</v>
      </c>
      <c r="B152" s="91" t="s">
        <v>755</v>
      </c>
      <c r="C152" s="88" t="s">
        <v>756</v>
      </c>
      <c r="D152" s="88" t="s">
        <v>842</v>
      </c>
      <c r="E152" s="88" t="s">
        <v>843</v>
      </c>
      <c r="F152" s="88" t="s">
        <v>218</v>
      </c>
      <c r="G152" s="89" t="s">
        <v>754</v>
      </c>
      <c r="H152" s="89" t="s">
        <v>757</v>
      </c>
      <c r="I152" s="89" t="s">
        <v>758</v>
      </c>
    </row>
    <row r="153" spans="1:9" s="88" customFormat="1">
      <c r="A153" s="88">
        <f t="shared" si="2"/>
        <v>151</v>
      </c>
      <c r="B153" s="91" t="s">
        <v>759</v>
      </c>
      <c r="C153" s="88" t="s">
        <v>767</v>
      </c>
      <c r="D153" s="88" t="s">
        <v>225</v>
      </c>
      <c r="E153" s="88" t="s">
        <v>225</v>
      </c>
      <c r="F153" s="88" t="s">
        <v>225</v>
      </c>
      <c r="G153" s="89" t="s">
        <v>760</v>
      </c>
      <c r="H153" s="89" t="s">
        <v>85</v>
      </c>
      <c r="I153" s="89" t="s">
        <v>761</v>
      </c>
    </row>
    <row r="154" spans="1:9" s="88" customFormat="1">
      <c r="A154" s="88">
        <f t="shared" si="2"/>
        <v>152</v>
      </c>
      <c r="B154" s="91" t="s">
        <v>762</v>
      </c>
      <c r="C154" s="88" t="s">
        <v>766</v>
      </c>
      <c r="D154" s="88" t="s">
        <v>225</v>
      </c>
      <c r="E154" s="88" t="s">
        <v>225</v>
      </c>
      <c r="F154" s="88" t="s">
        <v>225</v>
      </c>
      <c r="G154" s="89" t="s">
        <v>765</v>
      </c>
      <c r="H154" s="89" t="s">
        <v>763</v>
      </c>
      <c r="I154" s="89" t="s">
        <v>764</v>
      </c>
    </row>
    <row r="155" spans="1:9" s="88" customFormat="1">
      <c r="A155" s="88">
        <f t="shared" si="2"/>
        <v>153</v>
      </c>
      <c r="B155" s="91" t="s">
        <v>768</v>
      </c>
      <c r="C155" s="88" t="s">
        <v>769</v>
      </c>
      <c r="D155" s="88" t="s">
        <v>225</v>
      </c>
      <c r="E155" s="88" t="s">
        <v>225</v>
      </c>
      <c r="F155" s="88" t="s">
        <v>225</v>
      </c>
      <c r="G155" s="89" t="s">
        <v>770</v>
      </c>
      <c r="H155" s="89" t="s">
        <v>85</v>
      </c>
      <c r="I155" s="89" t="s">
        <v>193</v>
      </c>
    </row>
    <row r="156" spans="1:9" s="88" customFormat="1">
      <c r="A156" s="88">
        <f t="shared" si="2"/>
        <v>154</v>
      </c>
      <c r="B156" s="91" t="s">
        <v>771</v>
      </c>
      <c r="C156" s="88" t="s">
        <v>772</v>
      </c>
      <c r="D156" s="88" t="s">
        <v>225</v>
      </c>
      <c r="E156" s="88" t="s">
        <v>225</v>
      </c>
      <c r="F156" s="88" t="s">
        <v>225</v>
      </c>
      <c r="G156" s="89" t="s">
        <v>773</v>
      </c>
      <c r="H156" s="89" t="s">
        <v>774</v>
      </c>
      <c r="I156" s="89" t="s">
        <v>775</v>
      </c>
    </row>
    <row r="157" spans="1:9" s="88" customFormat="1">
      <c r="A157" s="88">
        <f t="shared" si="2"/>
        <v>155</v>
      </c>
      <c r="B157" s="91" t="s">
        <v>778</v>
      </c>
      <c r="C157" s="88" t="s">
        <v>776</v>
      </c>
      <c r="D157" s="88" t="s">
        <v>225</v>
      </c>
      <c r="E157" s="88" t="s">
        <v>225</v>
      </c>
      <c r="F157" s="88" t="s">
        <v>225</v>
      </c>
      <c r="G157" s="89" t="s">
        <v>777</v>
      </c>
      <c r="H157" s="89" t="s">
        <v>85</v>
      </c>
      <c r="I157" s="89" t="s">
        <v>786</v>
      </c>
    </row>
    <row r="158" spans="1:9" s="88" customFormat="1">
      <c r="A158" s="88">
        <f t="shared" si="2"/>
        <v>156</v>
      </c>
      <c r="B158" s="91" t="s">
        <v>779</v>
      </c>
      <c r="C158" s="88" t="s">
        <v>780</v>
      </c>
      <c r="D158" s="88" t="s">
        <v>225</v>
      </c>
      <c r="E158" s="88" t="s">
        <v>225</v>
      </c>
      <c r="F158" s="88" t="s">
        <v>225</v>
      </c>
      <c r="G158" s="89" t="s">
        <v>781</v>
      </c>
      <c r="H158" s="89" t="s">
        <v>782</v>
      </c>
      <c r="I158" s="89" t="s">
        <v>783</v>
      </c>
    </row>
    <row r="159" spans="1:9" s="88" customFormat="1">
      <c r="A159" s="88">
        <f t="shared" si="2"/>
        <v>157</v>
      </c>
      <c r="B159" s="91" t="s">
        <v>784</v>
      </c>
      <c r="C159" s="88" t="s">
        <v>792</v>
      </c>
      <c r="D159" s="88" t="s">
        <v>225</v>
      </c>
      <c r="E159" s="88" t="s">
        <v>225</v>
      </c>
      <c r="F159" s="88" t="s">
        <v>225</v>
      </c>
      <c r="G159" s="89" t="s">
        <v>787</v>
      </c>
      <c r="H159" s="89" t="s">
        <v>85</v>
      </c>
      <c r="I159" s="89" t="s">
        <v>785</v>
      </c>
    </row>
    <row r="160" spans="1:9" s="88" customFormat="1">
      <c r="A160" s="88">
        <f t="shared" si="2"/>
        <v>158</v>
      </c>
      <c r="B160" s="91" t="s">
        <v>788</v>
      </c>
      <c r="C160" s="88" t="s">
        <v>789</v>
      </c>
      <c r="D160" s="88" t="s">
        <v>225</v>
      </c>
      <c r="E160" s="88" t="s">
        <v>225</v>
      </c>
      <c r="F160" s="88" t="s">
        <v>225</v>
      </c>
      <c r="G160" s="89" t="s">
        <v>790</v>
      </c>
      <c r="H160" s="89" t="s">
        <v>791</v>
      </c>
      <c r="I160" s="89" t="s">
        <v>175</v>
      </c>
    </row>
    <row r="161" spans="1:9" s="88" customFormat="1">
      <c r="A161" s="88">
        <f t="shared" si="2"/>
        <v>159</v>
      </c>
      <c r="B161" s="91" t="s">
        <v>795</v>
      </c>
      <c r="C161" s="88" t="s">
        <v>948</v>
      </c>
      <c r="D161" s="88" t="s">
        <v>899</v>
      </c>
      <c r="E161" s="88" t="s">
        <v>900</v>
      </c>
      <c r="F161" s="88" t="s">
        <v>218</v>
      </c>
      <c r="G161" s="89" t="s">
        <v>946</v>
      </c>
      <c r="H161" s="89" t="s">
        <v>85</v>
      </c>
      <c r="I161" s="89" t="s">
        <v>947</v>
      </c>
    </row>
    <row r="162" spans="1:9" s="88" customFormat="1">
      <c r="A162" s="88">
        <f t="shared" si="2"/>
        <v>160</v>
      </c>
      <c r="B162" s="91" t="s">
        <v>796</v>
      </c>
      <c r="C162" s="88" t="s">
        <v>797</v>
      </c>
      <c r="D162" s="88" t="s">
        <v>225</v>
      </c>
      <c r="E162" s="88" t="s">
        <v>225</v>
      </c>
      <c r="F162" s="88" t="s">
        <v>225</v>
      </c>
      <c r="G162" s="89" t="s">
        <v>798</v>
      </c>
      <c r="H162" s="89" t="s">
        <v>799</v>
      </c>
      <c r="I162" s="89" t="s">
        <v>800</v>
      </c>
    </row>
    <row r="163" spans="1:9" s="88" customFormat="1">
      <c r="A163" s="88">
        <f t="shared" si="2"/>
        <v>161</v>
      </c>
      <c r="B163" s="90" t="s">
        <v>803</v>
      </c>
      <c r="C163" s="88" t="s">
        <v>804</v>
      </c>
      <c r="D163" s="88" t="s">
        <v>225</v>
      </c>
      <c r="E163" s="88" t="s">
        <v>225</v>
      </c>
      <c r="F163" s="88" t="s">
        <v>225</v>
      </c>
      <c r="G163" s="89" t="s">
        <v>805</v>
      </c>
      <c r="H163" s="88" t="s">
        <v>225</v>
      </c>
      <c r="I163" s="88" t="s">
        <v>806</v>
      </c>
    </row>
    <row r="164" spans="1:9" s="88" customFormat="1">
      <c r="A164" s="88">
        <f t="shared" si="2"/>
        <v>162</v>
      </c>
      <c r="B164" s="91" t="s">
        <v>807</v>
      </c>
      <c r="C164" s="88" t="s">
        <v>808</v>
      </c>
      <c r="D164" s="88" t="s">
        <v>825</v>
      </c>
      <c r="E164" s="88" t="s">
        <v>826</v>
      </c>
      <c r="F164" s="88" t="s">
        <v>218</v>
      </c>
      <c r="G164" s="89" t="s">
        <v>809</v>
      </c>
      <c r="H164" s="89" t="s">
        <v>810</v>
      </c>
      <c r="I164" s="88" t="s">
        <v>811</v>
      </c>
    </row>
    <row r="165" spans="1:9" s="88" customFormat="1">
      <c r="A165" s="88">
        <f t="shared" si="2"/>
        <v>163</v>
      </c>
      <c r="B165" s="91" t="s">
        <v>812</v>
      </c>
      <c r="C165" s="88" t="s">
        <v>813</v>
      </c>
      <c r="D165" s="88" t="s">
        <v>827</v>
      </c>
      <c r="E165" s="88" t="s">
        <v>828</v>
      </c>
      <c r="F165" s="88" t="s">
        <v>218</v>
      </c>
      <c r="G165" s="89" t="s">
        <v>814</v>
      </c>
      <c r="H165" s="89" t="s">
        <v>815</v>
      </c>
      <c r="I165" s="88" t="s">
        <v>816</v>
      </c>
    </row>
    <row r="166" spans="1:9" s="88" customFormat="1">
      <c r="A166" s="88">
        <f t="shared" si="2"/>
        <v>164</v>
      </c>
      <c r="B166" s="91" t="s">
        <v>848</v>
      </c>
      <c r="C166" s="88" t="s">
        <v>849</v>
      </c>
      <c r="D166" s="88" t="s">
        <v>850</v>
      </c>
      <c r="E166" s="88" t="s">
        <v>851</v>
      </c>
      <c r="F166" s="88" t="s">
        <v>852</v>
      </c>
      <c r="G166" s="89"/>
      <c r="H166" s="89" t="s">
        <v>853</v>
      </c>
      <c r="I166" s="88" t="s">
        <v>854</v>
      </c>
    </row>
    <row r="167" spans="1:9" s="88" customFormat="1">
      <c r="A167" s="88">
        <f t="shared" si="2"/>
        <v>165</v>
      </c>
      <c r="B167" s="91" t="s">
        <v>855</v>
      </c>
      <c r="C167" s="88" t="s">
        <v>856</v>
      </c>
      <c r="D167" s="88" t="s">
        <v>857</v>
      </c>
      <c r="E167" s="88" t="s">
        <v>858</v>
      </c>
      <c r="F167" s="88" t="s">
        <v>218</v>
      </c>
      <c r="G167" s="89" t="s">
        <v>859</v>
      </c>
      <c r="H167" s="89" t="s">
        <v>85</v>
      </c>
      <c r="I167" s="88" t="s">
        <v>860</v>
      </c>
    </row>
    <row r="168" spans="1:9" s="88" customFormat="1">
      <c r="A168" s="88">
        <f t="shared" si="2"/>
        <v>166</v>
      </c>
      <c r="B168" s="91" t="s">
        <v>861</v>
      </c>
      <c r="C168" s="88" t="s">
        <v>862</v>
      </c>
      <c r="D168" s="88" t="s">
        <v>863</v>
      </c>
      <c r="E168" s="88" t="s">
        <v>864</v>
      </c>
      <c r="F168" s="88" t="s">
        <v>852</v>
      </c>
      <c r="G168" s="89" t="s">
        <v>865</v>
      </c>
      <c r="H168" s="89" t="s">
        <v>866</v>
      </c>
      <c r="I168" s="88" t="s">
        <v>867</v>
      </c>
    </row>
    <row r="169" spans="1:9" s="88" customFormat="1">
      <c r="A169" s="88">
        <f t="shared" si="2"/>
        <v>167</v>
      </c>
      <c r="B169" s="91" t="s">
        <v>868</v>
      </c>
      <c r="C169" s="88" t="s">
        <v>869</v>
      </c>
      <c r="D169" s="88" t="s">
        <v>870</v>
      </c>
      <c r="E169" s="88" t="s">
        <v>871</v>
      </c>
      <c r="F169" s="88" t="s">
        <v>218</v>
      </c>
      <c r="G169" s="89" t="s">
        <v>872</v>
      </c>
      <c r="H169" s="89" t="s">
        <v>85</v>
      </c>
      <c r="I169" s="88" t="s">
        <v>873</v>
      </c>
    </row>
    <row r="170" spans="1:9" s="88" customFormat="1">
      <c r="A170" s="88">
        <f t="shared" si="2"/>
        <v>168</v>
      </c>
      <c r="B170" s="91" t="s">
        <v>876</v>
      </c>
      <c r="C170" s="88" t="s">
        <v>877</v>
      </c>
      <c r="D170" s="88" t="s">
        <v>878</v>
      </c>
      <c r="E170" s="88" t="s">
        <v>879</v>
      </c>
      <c r="F170" s="88" t="s">
        <v>218</v>
      </c>
      <c r="G170" s="89" t="s">
        <v>880</v>
      </c>
      <c r="H170" s="89" t="s">
        <v>85</v>
      </c>
      <c r="I170" s="88" t="s">
        <v>881</v>
      </c>
    </row>
    <row r="171" spans="1:9" s="88" customFormat="1" ht="30">
      <c r="A171" s="88">
        <f t="shared" si="2"/>
        <v>169</v>
      </c>
      <c r="B171" s="91" t="s">
        <v>960</v>
      </c>
      <c r="C171" s="88" t="s">
        <v>882</v>
      </c>
      <c r="D171" s="88" t="s">
        <v>883</v>
      </c>
      <c r="E171" s="88" t="s">
        <v>884</v>
      </c>
      <c r="F171" s="88" t="s">
        <v>218</v>
      </c>
      <c r="G171" s="89" t="s">
        <v>885</v>
      </c>
      <c r="H171" s="89" t="s">
        <v>85</v>
      </c>
      <c r="I171" s="88" t="s">
        <v>886</v>
      </c>
    </row>
    <row r="172" spans="1:9" s="88" customFormat="1">
      <c r="A172" s="88">
        <f t="shared" si="2"/>
        <v>170</v>
      </c>
      <c r="B172" s="91" t="s">
        <v>892</v>
      </c>
      <c r="C172" s="88" t="s">
        <v>898</v>
      </c>
      <c r="D172" s="88" t="s">
        <v>893</v>
      </c>
      <c r="E172" s="88" t="s">
        <v>894</v>
      </c>
      <c r="F172" s="88" t="s">
        <v>218</v>
      </c>
      <c r="G172" s="89" t="s">
        <v>895</v>
      </c>
      <c r="H172" s="89" t="s">
        <v>896</v>
      </c>
      <c r="I172" s="88" t="s">
        <v>897</v>
      </c>
    </row>
    <row r="173" spans="1:9" s="88" customFormat="1">
      <c r="A173" s="88">
        <f t="shared" si="2"/>
        <v>171</v>
      </c>
      <c r="B173" s="91" t="s">
        <v>907</v>
      </c>
      <c r="C173" s="88" t="s">
        <v>908</v>
      </c>
      <c r="D173" s="88" t="s">
        <v>909</v>
      </c>
      <c r="E173" s="88" t="s">
        <v>910</v>
      </c>
      <c r="F173" s="88" t="s">
        <v>218</v>
      </c>
      <c r="G173" s="89" t="s">
        <v>911</v>
      </c>
      <c r="H173" s="89" t="s">
        <v>85</v>
      </c>
      <c r="I173" s="88" t="s">
        <v>912</v>
      </c>
    </row>
    <row r="174" spans="1:9" s="88" customFormat="1">
      <c r="A174" s="88">
        <f t="shared" si="2"/>
        <v>172</v>
      </c>
      <c r="B174" s="91" t="s">
        <v>913</v>
      </c>
      <c r="C174" s="88" t="s">
        <v>914</v>
      </c>
      <c r="D174" s="88" t="s">
        <v>916</v>
      </c>
      <c r="E174" s="88" t="s">
        <v>915</v>
      </c>
      <c r="F174" s="88" t="s">
        <v>218</v>
      </c>
      <c r="G174" s="89" t="s">
        <v>917</v>
      </c>
      <c r="H174" s="89" t="s">
        <v>192</v>
      </c>
      <c r="I174" s="88" t="s">
        <v>918</v>
      </c>
    </row>
    <row r="175" spans="1:9" s="88" customFormat="1">
      <c r="A175" s="88">
        <f t="shared" si="2"/>
        <v>173</v>
      </c>
      <c r="B175" s="91" t="s">
        <v>921</v>
      </c>
      <c r="C175" s="88" t="s">
        <v>922</v>
      </c>
      <c r="D175" s="88" t="s">
        <v>923</v>
      </c>
      <c r="E175" s="88" t="s">
        <v>924</v>
      </c>
      <c r="F175" s="88" t="s">
        <v>218</v>
      </c>
      <c r="G175" s="89" t="s">
        <v>925</v>
      </c>
      <c r="H175" s="89" t="s">
        <v>926</v>
      </c>
      <c r="I175" s="88" t="s">
        <v>927</v>
      </c>
    </row>
    <row r="176" spans="1:9" s="88" customFormat="1">
      <c r="A176" s="88">
        <f t="shared" si="2"/>
        <v>174</v>
      </c>
      <c r="B176" s="91" t="s">
        <v>929</v>
      </c>
      <c r="C176" s="88" t="s">
        <v>932</v>
      </c>
      <c r="D176" s="88" t="s">
        <v>919</v>
      </c>
      <c r="E176" s="88" t="s">
        <v>931</v>
      </c>
      <c r="F176" s="88" t="s">
        <v>218</v>
      </c>
      <c r="G176" s="89" t="s">
        <v>928</v>
      </c>
      <c r="H176" s="89" t="s">
        <v>85</v>
      </c>
      <c r="I176" s="88" t="s">
        <v>930</v>
      </c>
    </row>
    <row r="177" spans="1:9" s="88" customFormat="1">
      <c r="A177" s="88">
        <f t="shared" si="2"/>
        <v>175</v>
      </c>
      <c r="B177" s="91" t="s">
        <v>938</v>
      </c>
      <c r="C177" s="88" t="s">
        <v>939</v>
      </c>
      <c r="D177" s="88" t="s">
        <v>940</v>
      </c>
      <c r="E177" s="88" t="s">
        <v>941</v>
      </c>
      <c r="F177" s="88" t="s">
        <v>218</v>
      </c>
      <c r="G177" s="89" t="s">
        <v>942</v>
      </c>
      <c r="H177" s="89" t="s">
        <v>85</v>
      </c>
      <c r="I177" s="88" t="s">
        <v>943</v>
      </c>
    </row>
    <row r="178" spans="1:9" s="88" customFormat="1">
      <c r="A178" s="88">
        <f t="shared" si="2"/>
        <v>176</v>
      </c>
      <c r="B178" s="91" t="s">
        <v>949</v>
      </c>
      <c r="C178" s="88" t="s">
        <v>950</v>
      </c>
      <c r="D178" s="88" t="s">
        <v>952</v>
      </c>
      <c r="E178" s="88" t="s">
        <v>951</v>
      </c>
      <c r="F178" s="88" t="s">
        <v>218</v>
      </c>
      <c r="G178" s="89" t="s">
        <v>953</v>
      </c>
      <c r="H178" s="89" t="s">
        <v>85</v>
      </c>
      <c r="I178" s="88" t="s">
        <v>954</v>
      </c>
    </row>
    <row r="179" spans="1:9" s="88" customFormat="1">
      <c r="A179" s="88">
        <f t="shared" si="2"/>
        <v>177</v>
      </c>
      <c r="B179" s="90" t="s">
        <v>955</v>
      </c>
      <c r="C179" s="88" t="s">
        <v>956</v>
      </c>
      <c r="D179" s="88" t="s">
        <v>957</v>
      </c>
      <c r="E179" s="88" t="s">
        <v>958</v>
      </c>
      <c r="F179" s="88" t="s">
        <v>218</v>
      </c>
      <c r="G179" s="88" t="s">
        <v>413</v>
      </c>
      <c r="H179" s="88" t="s">
        <v>85</v>
      </c>
      <c r="I179" s="88" t="s">
        <v>959</v>
      </c>
    </row>
    <row r="180" spans="1:9" s="88" customFormat="1" ht="30">
      <c r="A180" s="88">
        <f t="shared" si="2"/>
        <v>178</v>
      </c>
      <c r="B180" s="91" t="s">
        <v>961</v>
      </c>
      <c r="C180" s="88" t="s">
        <v>962</v>
      </c>
      <c r="D180" s="88" t="s">
        <v>887</v>
      </c>
      <c r="E180" s="88" t="s">
        <v>963</v>
      </c>
      <c r="F180" s="88" t="s">
        <v>218</v>
      </c>
      <c r="G180" s="89" t="s">
        <v>964</v>
      </c>
      <c r="H180" s="89" t="s">
        <v>85</v>
      </c>
      <c r="I180" s="88" t="s">
        <v>965</v>
      </c>
    </row>
    <row r="181" spans="1:9" s="88" customFormat="1">
      <c r="A181" s="88">
        <f t="shared" si="2"/>
        <v>179</v>
      </c>
      <c r="B181" s="91" t="s">
        <v>972</v>
      </c>
      <c r="C181" s="88" t="s">
        <v>973</v>
      </c>
      <c r="D181" s="88" t="s">
        <v>974</v>
      </c>
      <c r="E181" s="88" t="s">
        <v>975</v>
      </c>
      <c r="F181" s="88" t="s">
        <v>218</v>
      </c>
      <c r="G181" s="89" t="s">
        <v>976</v>
      </c>
      <c r="H181" s="89" t="s">
        <v>85</v>
      </c>
      <c r="I181" s="88" t="s">
        <v>977</v>
      </c>
    </row>
    <row r="182" spans="1:9">
      <c r="A182" s="88">
        <f t="shared" si="2"/>
        <v>180</v>
      </c>
    </row>
  </sheetData>
  <mergeCells count="7">
    <mergeCell ref="I1:I2"/>
    <mergeCell ref="A1:A2"/>
    <mergeCell ref="B1:B2"/>
    <mergeCell ref="C1:C2"/>
    <mergeCell ref="D1:F1"/>
    <mergeCell ref="G1:G2"/>
    <mergeCell ref="H1:H2"/>
  </mergeCells>
  <pageMargins left="0.70866141732283472" right="0.70866141732283472" top="0.74803149606299213" bottom="0.74803149606299213" header="0.31496062992125984" footer="0.31496062992125984"/>
  <pageSetup paperSize="9" orientation="portrait" horizontalDpi="180" verticalDpi="18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3"/>
  <dimension ref="A1:Q31"/>
  <sheetViews>
    <sheetView workbookViewId="0">
      <selection activeCell="B19" sqref="B19"/>
    </sheetView>
  </sheetViews>
  <sheetFormatPr defaultRowHeight="15"/>
  <cols>
    <col min="1" max="1" width="24.140625" customWidth="1"/>
    <col min="2" max="2" width="13.42578125" customWidth="1"/>
    <col min="3" max="3" width="57.5703125" customWidth="1"/>
    <col min="4" max="4" width="23.42578125" customWidth="1"/>
    <col min="5" max="5" width="12.140625" customWidth="1"/>
    <col min="6" max="6" width="11.28515625" customWidth="1"/>
    <col min="7" max="7" width="11" customWidth="1"/>
    <col min="8" max="8" width="10.42578125" customWidth="1"/>
    <col min="15" max="15" width="36.140625" customWidth="1"/>
  </cols>
  <sheetData>
    <row r="1" spans="1:17" ht="26.25" customHeight="1">
      <c r="A1" s="105" t="str">
        <f>CONCATENATE("Заявка на перевозку груза от ",TEXT(D3,"ДД.ММ.ГГ")," к договору ",VLOOKUP(D1,Заказчики!B:G,6,FALSE))</f>
        <v>Заявка на перевозку груза от 05.07.2017 N 544Ю к договору № 264 от 21.03.2018</v>
      </c>
      <c r="B1" s="105"/>
      <c r="C1" s="105"/>
      <c r="D1" s="104" t="s">
        <v>807</v>
      </c>
      <c r="E1" s="104"/>
      <c r="F1" s="104"/>
      <c r="H1" t="s">
        <v>967</v>
      </c>
      <c r="O1" t="s">
        <v>978</v>
      </c>
      <c r="Q1">
        <v>20</v>
      </c>
    </row>
    <row r="2" spans="1:17">
      <c r="A2" s="24"/>
      <c r="B2" s="24"/>
      <c r="C2" s="24"/>
      <c r="H2" t="s">
        <v>968</v>
      </c>
      <c r="O2" t="s">
        <v>979</v>
      </c>
      <c r="Q2">
        <v>0</v>
      </c>
    </row>
    <row r="3" spans="1:17" ht="15.75">
      <c r="A3" s="25" t="s">
        <v>18</v>
      </c>
      <c r="B3" s="25"/>
      <c r="C3" s="24"/>
      <c r="D3" s="21" t="s">
        <v>561</v>
      </c>
      <c r="E3" t="s">
        <v>12</v>
      </c>
      <c r="H3" t="s">
        <v>370</v>
      </c>
      <c r="O3" t="s">
        <v>980</v>
      </c>
    </row>
    <row r="4" spans="1:17" ht="78" customHeight="1">
      <c r="A4" s="106" t="s">
        <v>541</v>
      </c>
      <c r="B4" s="106"/>
      <c r="C4" s="106"/>
      <c r="H4" t="s">
        <v>969</v>
      </c>
    </row>
    <row r="5" spans="1:17" ht="15.75" customHeight="1">
      <c r="A5" s="54"/>
      <c r="B5" s="54"/>
      <c r="C5" s="54"/>
      <c r="H5" t="s">
        <v>970</v>
      </c>
    </row>
    <row r="6" spans="1:17" ht="15.75" customHeight="1">
      <c r="A6" s="25" t="s">
        <v>19</v>
      </c>
      <c r="B6" s="25"/>
      <c r="C6" s="25"/>
      <c r="H6" t="s">
        <v>971</v>
      </c>
    </row>
    <row r="7" spans="1:17" ht="66.75" customHeight="1">
      <c r="A7" s="107" t="str">
        <f>CONCATENATE(D1,".",VLOOKUP(D1,Заказчики!B:G,2,FALSE))</f>
        <v>ИП Рукша Анна Викторовна.230021, г. Гродно, ул. Белые Росы, 65-63 (230005, г. Гродно, ул. Гаспадарчая, 11), УНП 591259962, р/с BY44 AKBB 3013 0000 6188 6400 0000 (BYN), BY80 AKBB 3013 0000 6190 3400 0000 (RUB), BY43 AKBB 3013 0000 6189 9400 0000 (EUR), BY02 AKBB 3013 0000 6233 5400 0000 (USD), банк - ОАО «АСБ Беларусбанк», филиал № 400 – Гродненское областное управление, БИК AKBBBY21400, +375-33-6870094, vita_6870094@mail.ru</v>
      </c>
      <c r="B7" s="107"/>
      <c r="C7" s="107"/>
    </row>
    <row r="8" spans="1:17" ht="17.25">
      <c r="A8" s="25"/>
      <c r="B8" s="25"/>
      <c r="C8" s="25"/>
    </row>
    <row r="9" spans="1:17" ht="19.5" customHeight="1">
      <c r="A9" s="57" t="s">
        <v>1</v>
      </c>
      <c r="B9" s="108" t="s">
        <v>562</v>
      </c>
      <c r="C9" s="109"/>
    </row>
    <row r="10" spans="1:17" ht="19.5" customHeight="1">
      <c r="A10" s="57" t="s">
        <v>3</v>
      </c>
      <c r="B10" s="62">
        <v>42921</v>
      </c>
      <c r="C10" s="58"/>
    </row>
    <row r="11" spans="1:17" ht="19.5" customHeight="1">
      <c r="A11" s="57" t="s">
        <v>2</v>
      </c>
      <c r="B11" s="62">
        <v>43501</v>
      </c>
      <c r="C11" s="58"/>
    </row>
    <row r="12" spans="1:17" ht="25.5" customHeight="1">
      <c r="A12" s="57" t="s">
        <v>4</v>
      </c>
      <c r="B12" s="59"/>
      <c r="C12" s="60" t="s">
        <v>383</v>
      </c>
    </row>
    <row r="13" spans="1:17" ht="19.5" customHeight="1">
      <c r="A13" s="57" t="s">
        <v>5</v>
      </c>
      <c r="B13" s="108"/>
      <c r="C13" s="109"/>
    </row>
    <row r="14" spans="1:17" ht="19.5" customHeight="1">
      <c r="A14" s="57" t="s">
        <v>6</v>
      </c>
      <c r="B14" s="108"/>
      <c r="C14" s="109"/>
    </row>
    <row r="15" spans="1:17" ht="19.5" customHeight="1">
      <c r="A15" s="57" t="s">
        <v>7</v>
      </c>
      <c r="B15" s="108"/>
      <c r="C15" s="109"/>
    </row>
    <row r="16" spans="1:17" ht="19.5" customHeight="1">
      <c r="A16" s="57" t="s">
        <v>8</v>
      </c>
      <c r="B16" s="108"/>
      <c r="C16" s="109"/>
    </row>
    <row r="17" spans="1:7" ht="19.5" customHeight="1">
      <c r="A17" s="57" t="s">
        <v>9</v>
      </c>
      <c r="B17" s="98">
        <v>160.58000000000001</v>
      </c>
      <c r="C17" s="60" t="s">
        <v>27</v>
      </c>
    </row>
    <row r="18" spans="1:7" ht="19.5" customHeight="1">
      <c r="A18" s="57" t="s">
        <v>981</v>
      </c>
      <c r="B18" s="61">
        <v>20</v>
      </c>
      <c r="C18" s="92"/>
    </row>
    <row r="19" spans="1:7" ht="19.5" customHeight="1">
      <c r="A19" s="57" t="s">
        <v>990</v>
      </c>
      <c r="B19" s="60" t="s">
        <v>26</v>
      </c>
      <c r="C19" s="92"/>
      <c r="D19" t="str">
        <f>IF(Заявка!B19=Заявка!C17,"Оплата в валюте","Оплата в рублях")</f>
        <v>Оплата в рублях</v>
      </c>
    </row>
    <row r="20" spans="1:7" ht="19.5" customHeight="1">
      <c r="A20" s="57" t="s">
        <v>10</v>
      </c>
      <c r="B20" s="112" t="s">
        <v>384</v>
      </c>
      <c r="C20" s="113"/>
      <c r="D20" t="str">
        <f>CONCATENATE("Курс ",VLOOKUP(C17,Счет!M1:'Счет'!Q4,4,FALSE)," НБРБ на дату акта ",TEXT(B11,"ДД.ММ.ГГГГ"))</f>
        <v>Курс USD НБРБ на дату акта 05.02.2019</v>
      </c>
      <c r="F20" s="102" t="str">
        <f>currencyCursOnDate(VLOOKUP(C17,Счет!M1:'Счет'!Q4,4,FALSE),TEXT(B11,"ДД.ММ.ГГГГ"))</f>
        <v>2.1583</v>
      </c>
      <c r="G20" t="s">
        <v>996</v>
      </c>
    </row>
    <row r="21" spans="1:7" ht="19.5" customHeight="1">
      <c r="A21" s="57" t="s">
        <v>11</v>
      </c>
      <c r="B21" s="112" t="s">
        <v>967</v>
      </c>
      <c r="C21" s="113"/>
      <c r="D21" t="s">
        <v>995</v>
      </c>
      <c r="F21" s="101">
        <f>ROUND(PRODUCT(B17,VALUE(SUBSTITUTE(F20,".",",",1))),2)</f>
        <v>346.58</v>
      </c>
      <c r="G21" t="s">
        <v>997</v>
      </c>
    </row>
    <row r="22" spans="1:7" ht="29.25" customHeight="1">
      <c r="A22" s="59" t="s">
        <v>540</v>
      </c>
      <c r="B22" s="110" t="s">
        <v>979</v>
      </c>
      <c r="C22" s="111"/>
    </row>
    <row r="23" spans="1:7">
      <c r="A23" s="24"/>
      <c r="B23" s="24"/>
      <c r="C23" s="24"/>
    </row>
    <row r="24" spans="1:7">
      <c r="A24" s="24"/>
      <c r="B24" s="24"/>
      <c r="C24" s="24"/>
    </row>
    <row r="25" spans="1:7" ht="15.75">
      <c r="A25" s="25" t="s">
        <v>19</v>
      </c>
      <c r="B25" s="25"/>
      <c r="C25" s="24"/>
    </row>
    <row r="26" spans="1:7">
      <c r="A26" s="24"/>
      <c r="B26" s="24"/>
      <c r="C26" s="24"/>
    </row>
    <row r="27" spans="1:7">
      <c r="A27" s="24" t="str">
        <f>D1</f>
        <v>ИП Рукша Анна Викторовна</v>
      </c>
      <c r="B27" s="24"/>
      <c r="C27" s="24"/>
    </row>
    <row r="28" spans="1:7">
      <c r="A28" s="24"/>
      <c r="B28" s="24"/>
      <c r="C28" s="24"/>
    </row>
    <row r="29" spans="1:7">
      <c r="A29" s="24" t="str">
        <f>IF(VLOOKUP(D1,Заказчики!B:I,7,FALSE)=A27,"",VLOOKUP(D1,Заказчики!B:I,7,FALSE))</f>
        <v xml:space="preserve">ИП Рукша А.В. </v>
      </c>
      <c r="B29" s="24"/>
      <c r="C29" s="24"/>
    </row>
    <row r="30" spans="1:7">
      <c r="A30" s="24"/>
      <c r="B30" s="24"/>
      <c r="C30" s="24"/>
    </row>
    <row r="31" spans="1:7">
      <c r="A31" s="24" t="str">
        <f>VLOOKUP(D1,Заказчики!B:I,8,FALSE)</f>
        <v>___________________ А.В. Рукша</v>
      </c>
      <c r="B31" s="24"/>
      <c r="C31" s="24"/>
    </row>
  </sheetData>
  <mergeCells count="12">
    <mergeCell ref="B13:C13"/>
    <mergeCell ref="B22:C22"/>
    <mergeCell ref="B15:C15"/>
    <mergeCell ref="B14:C14"/>
    <mergeCell ref="B16:C16"/>
    <mergeCell ref="B20:C20"/>
    <mergeCell ref="B21:C21"/>
    <mergeCell ref="D1:F1"/>
    <mergeCell ref="A1:C1"/>
    <mergeCell ref="A4:C4"/>
    <mergeCell ref="A7:C7"/>
    <mergeCell ref="B9:C9"/>
  </mergeCells>
  <dataValidations count="5">
    <dataValidation type="list" allowBlank="1" showInputMessage="1" showErrorMessage="1" sqref="C17:C19 B19" xr:uid="{00000000-0002-0000-0100-000000000000}">
      <formula1>валюта</formula1>
    </dataValidation>
    <dataValidation type="list" allowBlank="1" showInputMessage="1" showErrorMessage="1" sqref="B21:C21" xr:uid="{00000000-0002-0000-0100-000001000000}">
      <formula1>$H$1:$H$6</formula1>
    </dataValidation>
    <dataValidation type="list" allowBlank="1" showInputMessage="1" showErrorMessage="1" sqref="D1:F1" xr:uid="{00000000-0002-0000-0100-000002000000}">
      <formula1>заказчик</formula1>
    </dataValidation>
    <dataValidation type="list" allowBlank="1" showInputMessage="1" showErrorMessage="1" sqref="B22:C22" xr:uid="{00000000-0002-0000-0100-000003000000}">
      <formula1>$O$1:$O$5</formula1>
    </dataValidation>
    <dataValidation type="list" allowBlank="1" showInputMessage="1" showErrorMessage="1" sqref="B18" xr:uid="{00000000-0002-0000-0100-000004000000}">
      <formula1>$Q$1:$Q$4</formula1>
    </dataValidation>
  </dataValidations>
  <printOptions horizontalCentered="1" verticalCentered="1"/>
  <pageMargins left="7.874015748031496E-2" right="3.937007874015748E-2" top="3.937007874015748E-2" bottom="3.937007874015748E-2" header="1.968503937007874E-2" footer="1.968503937007874E-2"/>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J46"/>
  <sheetViews>
    <sheetView workbookViewId="0">
      <selection activeCell="B12" sqref="B12:E12"/>
    </sheetView>
  </sheetViews>
  <sheetFormatPr defaultRowHeight="15"/>
  <cols>
    <col min="1" max="1" width="2.140625" customWidth="1"/>
    <col min="2" max="2" width="5.85546875" customWidth="1"/>
    <col min="3" max="3" width="35.85546875" customWidth="1"/>
    <col min="4" max="4" width="6.85546875" customWidth="1"/>
    <col min="5" max="5" width="10" customWidth="1"/>
    <col min="6" max="6" width="13.7109375" customWidth="1"/>
    <col min="7" max="7" width="10.7109375" customWidth="1"/>
    <col min="8" max="8" width="2.140625" customWidth="1"/>
    <col min="9" max="9" width="8" customWidth="1"/>
  </cols>
  <sheetData>
    <row r="1" spans="2:10">
      <c r="J1" t="str">
        <f>CONCATENATE("к договору ",VLOOKUP(Заявка!D1,Заказчики!B:G,6,FALSE))</f>
        <v>к договору № 264 от 21.03.2018</v>
      </c>
    </row>
    <row r="3" spans="2:10" ht="9.75" customHeight="1"/>
    <row r="4" spans="2:10" ht="11.25" customHeight="1">
      <c r="B4" s="114" t="s">
        <v>0</v>
      </c>
      <c r="C4" s="114"/>
      <c r="D4" s="114"/>
      <c r="E4" s="114"/>
      <c r="F4" s="114"/>
      <c r="G4" s="114"/>
    </row>
    <row r="5" spans="2:10" ht="11.25" customHeight="1">
      <c r="B5" s="115" t="s">
        <v>538</v>
      </c>
      <c r="C5" s="115"/>
      <c r="D5" s="115"/>
      <c r="E5" s="115"/>
      <c r="F5" s="115"/>
      <c r="G5" s="115"/>
    </row>
    <row r="6" spans="2:10" ht="33" customHeight="1">
      <c r="B6" s="116" t="s">
        <v>539</v>
      </c>
      <c r="C6" s="117"/>
      <c r="D6" s="117"/>
      <c r="E6" s="117"/>
      <c r="F6" s="117"/>
      <c r="G6" s="117"/>
    </row>
    <row r="7" spans="2:10" ht="11.25" customHeight="1">
      <c r="B7" s="118" t="s">
        <v>713</v>
      </c>
      <c r="C7" s="118"/>
      <c r="D7" s="118"/>
      <c r="E7" s="118"/>
      <c r="F7" s="118"/>
      <c r="G7" s="118"/>
    </row>
    <row r="8" spans="2:10">
      <c r="B8" s="1"/>
    </row>
    <row r="9" spans="2:10">
      <c r="B9" s="73"/>
      <c r="C9" s="74" t="str">
        <f>CONCATENATE(" Протокол согласования цен ",J1)</f>
        <v xml:space="preserve"> Протокол согласования цен к договору № 264 от 21.03.2018</v>
      </c>
      <c r="D9" s="74"/>
      <c r="E9" s="75"/>
      <c r="F9" s="73"/>
      <c r="G9" s="73"/>
    </row>
    <row r="10" spans="2:10" ht="7.5" customHeight="1">
      <c r="C10" s="9"/>
      <c r="D10" s="11"/>
      <c r="F10" s="12"/>
    </row>
    <row r="11" spans="2:10">
      <c r="B11" s="76" t="str">
        <f>CONCATENATE("Валюта: ",Заявка!C17)</f>
        <v>Валюта: $ США</v>
      </c>
      <c r="C11" s="9"/>
      <c r="D11" s="11"/>
      <c r="F11" s="12"/>
    </row>
    <row r="12" spans="2:10">
      <c r="B12" s="119" t="s">
        <v>83</v>
      </c>
      <c r="C12" s="119"/>
      <c r="D12" s="119"/>
      <c r="E12" s="119"/>
      <c r="F12" s="119" t="s">
        <v>82</v>
      </c>
      <c r="G12" s="119"/>
    </row>
    <row r="13" spans="2:10" ht="52.5" customHeight="1">
      <c r="B13" s="120" t="str">
        <f>CONCATENATE("Транспортные услуги по маршруту: ",Заявка!B9,". Автомобиль: ",Заявка!B21,". Заявка от ",Заявка!D3," .")</f>
        <v>Транспортные услуги по маршруту: г. Брест, Беларусь - г. Бобруйск, Могилевская обл., Беларусь. Автомобиль: С/тягач Scania AM 9693-1, п/прицеп Mirofret А 4992 В-1 . Заявка от 05.07.2017 N 544Ю .</v>
      </c>
      <c r="C13" s="120"/>
      <c r="D13" s="120"/>
      <c r="E13" s="120"/>
      <c r="F13" s="121">
        <f>Заявка!B17</f>
        <v>160.58000000000001</v>
      </c>
      <c r="G13" s="122"/>
    </row>
    <row r="14" spans="2:10">
      <c r="C14" s="9"/>
      <c r="D14" s="11"/>
      <c r="F14" s="12"/>
    </row>
    <row r="15" spans="2:10" ht="15.75">
      <c r="B15" s="3" t="s">
        <v>18</v>
      </c>
      <c r="C15" s="9"/>
      <c r="D15" s="11"/>
      <c r="E15" s="3" t="s">
        <v>19</v>
      </c>
      <c r="F15" s="12"/>
    </row>
    <row r="16" spans="2:10">
      <c r="B16" t="s">
        <v>84</v>
      </c>
      <c r="C16" s="9"/>
      <c r="D16" s="11"/>
      <c r="E16" t="str">
        <f>Заявка!A27</f>
        <v>ИП Рукша Анна Викторовна</v>
      </c>
      <c r="F16" s="12"/>
    </row>
    <row r="17" spans="1:8">
      <c r="C17" s="9"/>
      <c r="D17" s="11"/>
      <c r="F17" s="12"/>
    </row>
    <row r="18" spans="1:8">
      <c r="B18" t="s">
        <v>294</v>
      </c>
      <c r="C18" s="9"/>
      <c r="D18" s="11"/>
      <c r="E18" t="str">
        <f>Заявка!A29</f>
        <v xml:space="preserve">ИП Рукша А.В. </v>
      </c>
      <c r="F18" s="12"/>
    </row>
    <row r="19" spans="1:8">
      <c r="C19" s="9"/>
      <c r="D19" s="11"/>
      <c r="F19" s="12"/>
    </row>
    <row r="20" spans="1:8">
      <c r="B20" t="s">
        <v>261</v>
      </c>
      <c r="C20" s="9"/>
      <c r="D20" s="11"/>
      <c r="E20" t="str">
        <f>Заявка!A31</f>
        <v>___________________ А.В. Рукша</v>
      </c>
      <c r="F20" s="12"/>
    </row>
    <row r="21" spans="1:8">
      <c r="B21" t="s">
        <v>81</v>
      </c>
      <c r="E21" t="s">
        <v>81</v>
      </c>
    </row>
    <row r="22" spans="1:8">
      <c r="D22" s="12"/>
      <c r="E22" s="12"/>
    </row>
    <row r="23" spans="1:8">
      <c r="D23" s="12"/>
      <c r="E23" s="12"/>
    </row>
    <row r="24" spans="1:8">
      <c r="A24" s="12"/>
      <c r="B24" s="72"/>
      <c r="C24" s="12"/>
      <c r="D24" s="12"/>
      <c r="E24" s="72"/>
      <c r="F24" s="12"/>
      <c r="G24" s="72"/>
      <c r="H24" s="12"/>
    </row>
    <row r="25" spans="1:8">
      <c r="A25" s="71"/>
      <c r="C25" s="71"/>
      <c r="D25" s="71"/>
      <c r="F25" s="71"/>
      <c r="H25" s="71"/>
    </row>
    <row r="29" spans="1:8" ht="11.25" customHeight="1">
      <c r="B29" s="114" t="str">
        <f>B4</f>
        <v>Совместное общество с ограниченной ответственностью «КамелиТурКомпани»</v>
      </c>
      <c r="C29" s="114"/>
      <c r="D29" s="114"/>
      <c r="E29" s="114"/>
      <c r="F29" s="114"/>
      <c r="G29" s="114"/>
    </row>
    <row r="30" spans="1:8" ht="11.25" customHeight="1">
      <c r="B30" s="115" t="str">
        <f>B5</f>
        <v>225003, Республика Беларусь, Брестская область, Брестский р-н, д.Тельмы-2, ул. Промышленная, д. 4</v>
      </c>
      <c r="C30" s="115"/>
      <c r="D30" s="115"/>
      <c r="E30" s="115"/>
      <c r="F30" s="115"/>
      <c r="G30" s="115"/>
    </row>
    <row r="31" spans="1:8" ht="33" customHeight="1">
      <c r="B31" s="116" t="s">
        <v>539</v>
      </c>
      <c r="C31" s="117"/>
      <c r="D31" s="117"/>
      <c r="E31" s="117"/>
      <c r="F31" s="117"/>
      <c r="G31" s="117"/>
    </row>
    <row r="32" spans="1:8" ht="11.25" customHeight="1">
      <c r="B32" s="118" t="str">
        <f>B7</f>
        <v xml:space="preserve"> УНП 291126593, мобил: +375-29-7006100, факс: +375-162-456887, e-mail: cameli.turcompany@ya.ru</v>
      </c>
      <c r="C32" s="118"/>
      <c r="D32" s="118"/>
      <c r="E32" s="118"/>
      <c r="F32" s="118"/>
      <c r="G32" s="118"/>
    </row>
    <row r="34" spans="2:8">
      <c r="B34" s="123" t="str">
        <f>C9</f>
        <v xml:space="preserve"> Протокол согласования цен к договору № 264 от 21.03.2018</v>
      </c>
      <c r="C34" s="123"/>
      <c r="D34" s="123"/>
      <c r="E34" s="123"/>
      <c r="F34" s="123"/>
      <c r="G34" s="123"/>
      <c r="H34" s="123"/>
    </row>
    <row r="35" spans="2:8" ht="11.25" customHeight="1">
      <c r="C35" s="9"/>
      <c r="D35" s="11"/>
      <c r="F35" s="12"/>
    </row>
    <row r="36" spans="2:8">
      <c r="B36" s="76" t="str">
        <f>B11</f>
        <v>Валюта: $ США</v>
      </c>
      <c r="C36" s="9"/>
      <c r="D36" s="11"/>
      <c r="F36" s="12"/>
    </row>
    <row r="37" spans="2:8">
      <c r="B37" s="119" t="s">
        <v>83</v>
      </c>
      <c r="C37" s="119"/>
      <c r="D37" s="119"/>
      <c r="E37" s="119"/>
      <c r="F37" s="119" t="s">
        <v>82</v>
      </c>
      <c r="G37" s="119"/>
    </row>
    <row r="38" spans="2:8" ht="52.5" customHeight="1">
      <c r="B38" s="120" t="str">
        <f>B13</f>
        <v>Транспортные услуги по маршруту: г. Брест, Беларусь - г. Бобруйск, Могилевская обл., Беларусь. Автомобиль: С/тягач Scania AM 9693-1, п/прицеп Mirofret А 4992 В-1 . Заявка от 05.07.2017 N 544Ю .</v>
      </c>
      <c r="C38" s="120"/>
      <c r="D38" s="120"/>
      <c r="E38" s="120"/>
      <c r="F38" s="121">
        <f>F13</f>
        <v>160.58000000000001</v>
      </c>
      <c r="G38" s="122"/>
    </row>
    <row r="39" spans="2:8">
      <c r="C39" s="9"/>
      <c r="D39" s="11"/>
      <c r="F39" s="12"/>
    </row>
    <row r="40" spans="2:8" ht="15.75">
      <c r="B40" s="3" t="s">
        <v>18</v>
      </c>
      <c r="C40" s="9"/>
      <c r="D40" s="11"/>
      <c r="E40" s="3" t="s">
        <v>19</v>
      </c>
      <c r="F40" s="12"/>
    </row>
    <row r="41" spans="2:8">
      <c r="B41" t="s">
        <v>84</v>
      </c>
      <c r="C41" s="9"/>
      <c r="D41" s="11"/>
      <c r="E41" t="str">
        <f>E16</f>
        <v>ИП Рукша Анна Викторовна</v>
      </c>
      <c r="F41" s="12"/>
    </row>
    <row r="42" spans="2:8">
      <c r="C42" s="9"/>
      <c r="D42" s="11"/>
      <c r="F42" s="12"/>
    </row>
    <row r="43" spans="2:8">
      <c r="B43" t="s">
        <v>294</v>
      </c>
      <c r="C43" s="9"/>
      <c r="D43" s="11"/>
      <c r="E43" t="str">
        <f>E18</f>
        <v xml:space="preserve">ИП Рукша А.В. </v>
      </c>
      <c r="F43" s="12"/>
    </row>
    <row r="44" spans="2:8">
      <c r="C44" s="9"/>
      <c r="D44" s="11"/>
      <c r="F44" s="12"/>
    </row>
    <row r="45" spans="2:8">
      <c r="B45" t="s">
        <v>261</v>
      </c>
      <c r="C45" s="9"/>
      <c r="D45" s="11"/>
      <c r="E45" t="str">
        <f>E20</f>
        <v>___________________ А.В. Рукша</v>
      </c>
      <c r="F45" s="12"/>
    </row>
    <row r="46" spans="2:8">
      <c r="B46" t="s">
        <v>81</v>
      </c>
      <c r="E46" t="s">
        <v>81</v>
      </c>
    </row>
  </sheetData>
  <mergeCells count="17">
    <mergeCell ref="B13:E13"/>
    <mergeCell ref="F13:G13"/>
    <mergeCell ref="B38:E38"/>
    <mergeCell ref="F38:G38"/>
    <mergeCell ref="B29:G29"/>
    <mergeCell ref="B30:G30"/>
    <mergeCell ref="B31:G31"/>
    <mergeCell ref="B32:G32"/>
    <mergeCell ref="B37:E37"/>
    <mergeCell ref="F37:G37"/>
    <mergeCell ref="B34:H34"/>
    <mergeCell ref="B4:G4"/>
    <mergeCell ref="B5:G5"/>
    <mergeCell ref="B6:G6"/>
    <mergeCell ref="B7:G7"/>
    <mergeCell ref="B12:E12"/>
    <mergeCell ref="F12:G12"/>
  </mergeCells>
  <printOptions horizontalCentered="1" verticalCentered="1"/>
  <pageMargins left="7.874015748031496E-2" right="3.937007874015748E-2" top="3.937007874015748E-2" bottom="3.937007874015748E-2" header="3.937007874015748E-2" footer="3.937007874015748E-2"/>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5"/>
  <dimension ref="B1:Q30"/>
  <sheetViews>
    <sheetView topLeftCell="A13" zoomScaleNormal="100" workbookViewId="0">
      <selection activeCell="B25" sqref="B25"/>
    </sheetView>
  </sheetViews>
  <sheetFormatPr defaultRowHeight="15"/>
  <cols>
    <col min="1" max="1" width="2.140625" customWidth="1"/>
    <col min="2" max="2" width="5.85546875" customWidth="1"/>
    <col min="3" max="3" width="35.85546875" customWidth="1"/>
    <col min="4" max="4" width="10.85546875" customWidth="1"/>
    <col min="5" max="5" width="9" customWidth="1"/>
    <col min="6" max="6" width="13.7109375" customWidth="1"/>
    <col min="7" max="7" width="14.28515625" customWidth="1"/>
    <col min="8" max="8" width="2.140625" customWidth="1"/>
    <col min="12" max="12" width="40.85546875" customWidth="1"/>
  </cols>
  <sheetData>
    <row r="1" spans="2:17">
      <c r="M1" t="s">
        <v>26</v>
      </c>
      <c r="N1" t="s">
        <v>984</v>
      </c>
      <c r="P1" t="s">
        <v>991</v>
      </c>
      <c r="Q1" t="s">
        <v>987</v>
      </c>
    </row>
    <row r="2" spans="2:17">
      <c r="M2" t="s">
        <v>27</v>
      </c>
      <c r="N2" t="s">
        <v>985</v>
      </c>
      <c r="P2" t="s">
        <v>992</v>
      </c>
      <c r="Q2" t="s">
        <v>988</v>
      </c>
    </row>
    <row r="3" spans="2:17">
      <c r="M3" s="4" t="s">
        <v>28</v>
      </c>
      <c r="N3" t="s">
        <v>986</v>
      </c>
      <c r="P3" t="s">
        <v>993</v>
      </c>
      <c r="Q3" t="s">
        <v>989</v>
      </c>
    </row>
    <row r="4" spans="2:17" ht="11.25" customHeight="1">
      <c r="B4" s="114" t="str">
        <f>Протокол!B4</f>
        <v>Совместное общество с ограниченной ответственностью «КамелиТурКомпани»</v>
      </c>
      <c r="C4" s="114"/>
      <c r="D4" s="114"/>
      <c r="E4" s="114"/>
      <c r="F4" s="114"/>
      <c r="G4" s="114"/>
      <c r="H4" s="63"/>
      <c r="I4" s="2"/>
      <c r="J4" s="2"/>
      <c r="M4" s="4" t="s">
        <v>100</v>
      </c>
      <c r="N4" t="s">
        <v>101</v>
      </c>
      <c r="P4" t="s">
        <v>994</v>
      </c>
      <c r="Q4" t="s">
        <v>987</v>
      </c>
    </row>
    <row r="5" spans="2:17" ht="11.25" customHeight="1">
      <c r="B5" s="115" t="str">
        <f>Протокол!B5</f>
        <v>225003, Республика Беларусь, Брестская область, Брестский р-н, д.Тельмы-2, ул. Промышленная, д. 4</v>
      </c>
      <c r="C5" s="115"/>
      <c r="D5" s="115"/>
      <c r="E5" s="115"/>
      <c r="F5" s="115"/>
      <c r="G5" s="115"/>
      <c r="H5" s="55"/>
    </row>
    <row r="6" spans="2:17" ht="33" customHeight="1">
      <c r="B6" s="126" t="s">
        <v>618</v>
      </c>
      <c r="C6" s="115"/>
      <c r="D6" s="115"/>
      <c r="E6" s="115"/>
      <c r="F6" s="115"/>
      <c r="G6" s="115"/>
      <c r="H6" s="55"/>
      <c r="L6" t="s">
        <v>983</v>
      </c>
    </row>
    <row r="7" spans="2:17" ht="11.25" customHeight="1">
      <c r="B7" s="118" t="str">
        <f>Протокол!B7</f>
        <v xml:space="preserve"> УНП 291126593, мобил: +375-29-7006100, факс: +375-162-456887, e-mail: cameli.turcompany@ya.ru</v>
      </c>
      <c r="C7" s="118"/>
      <c r="D7" s="118"/>
      <c r="E7" s="118"/>
      <c r="F7" s="118"/>
      <c r="G7" s="118"/>
      <c r="H7" s="63"/>
      <c r="L7" s="124" t="e">
        <f>CONCATENATE("Сумма НДС: ",IF(E19=0,0,CONCATENATE(Общие!AL3,VLOOKUP(D18,M1:N4,2,FALSE))))</f>
        <v>#N/A</v>
      </c>
      <c r="M7" s="124"/>
    </row>
    <row r="8" spans="2:17">
      <c r="B8" s="1"/>
    </row>
    <row r="9" spans="2:17">
      <c r="B9" s="76"/>
      <c r="C9" s="77" t="s">
        <v>33</v>
      </c>
      <c r="D9" s="78" t="s">
        <v>536</v>
      </c>
      <c r="E9" s="79" t="s">
        <v>34</v>
      </c>
      <c r="F9" s="80">
        <f>Заявка!B11</f>
        <v>43501</v>
      </c>
      <c r="G9" s="76"/>
    </row>
    <row r="10" spans="2:17" ht="9" customHeight="1">
      <c r="C10" s="9"/>
      <c r="D10" s="11"/>
      <c r="F10" s="12"/>
    </row>
    <row r="11" spans="2:17" ht="15.75">
      <c r="B11" s="3" t="s">
        <v>18</v>
      </c>
      <c r="C11" s="9"/>
      <c r="D11" s="11"/>
      <c r="F11" s="12"/>
    </row>
    <row r="12" spans="2:17" ht="29.25" customHeight="1">
      <c r="B12" s="127" t="str">
        <f>Заявка!A4</f>
        <v>СООО "КамелиТурКомпани"
225003, Беларусь, Брестская обл., Брестский р-н, д.Тельмы-2, ул. Промышленная, д. 4
р/с в BYN № BY81SLAN30121643300530000000, в USD № BY29SLAN30121643350290100000, 
в Евро № BY34SLAN30121643350290000000, в RUB № BY24SLAN30121643350290200000, БИК SLANBY22, 
банк - ЗАО «Банк ВТБ (Беларусь)» РД № 500 в г. Брест (224016 г. Брест, ул. Московская, 208-1), МФО 153001108</v>
      </c>
      <c r="C12" s="127"/>
      <c r="D12" s="127"/>
      <c r="E12" s="127"/>
      <c r="F12" s="127"/>
      <c r="G12" s="127"/>
      <c r="H12" s="56"/>
    </row>
    <row r="13" spans="2:17" ht="9" customHeight="1">
      <c r="B13" s="13"/>
      <c r="C13" s="13"/>
      <c r="D13" s="13"/>
      <c r="E13" s="13"/>
      <c r="F13" s="13"/>
      <c r="G13" s="13"/>
      <c r="H13" s="56"/>
    </row>
    <row r="14" spans="2:17" ht="20.25" customHeight="1">
      <c r="B14" s="14" t="s">
        <v>35</v>
      </c>
      <c r="C14" s="13"/>
      <c r="D14" s="13"/>
      <c r="E14" s="13"/>
      <c r="F14" s="13"/>
      <c r="G14" s="13"/>
      <c r="H14" s="56"/>
    </row>
    <row r="15" spans="2:17" ht="64.5" customHeight="1">
      <c r="B15" s="127" t="str">
        <f>Заявка!A7</f>
        <v>ИП Рукша Анна Викторовна.230021, г. Гродно, ул. Белые Росы, 65-63 (230005, г. Гродно, ул. Гаспадарчая, 11), УНП 591259962, р/с BY44 AKBB 3013 0000 6188 6400 0000 (BYN), BY80 AKBB 3013 0000 6190 3400 0000 (RUB), BY43 AKBB 3013 0000 6189 9400 0000 (EUR), BY02 AKBB 3013 0000 6233 5400 0000 (USD), банк - ОАО «АСБ Беларусбанк», филиал № 400 – Гродненское областное управление, БИК AKBBBY21400, +375-33-6870094, vita_6870094@mail.ru</v>
      </c>
      <c r="C15" s="127"/>
      <c r="D15" s="127"/>
      <c r="E15" s="127"/>
      <c r="F15" s="127"/>
      <c r="G15" s="127"/>
      <c r="H15" s="56"/>
    </row>
    <row r="16" spans="2:17" ht="11.25" customHeight="1"/>
    <row r="17" spans="2:11" ht="30">
      <c r="B17" s="129" t="s">
        <v>24</v>
      </c>
      <c r="C17" s="129" t="s">
        <v>32</v>
      </c>
      <c r="D17" s="99" t="s">
        <v>25</v>
      </c>
      <c r="E17" s="129" t="s">
        <v>29</v>
      </c>
      <c r="F17" s="129" t="s">
        <v>30</v>
      </c>
      <c r="G17" s="99" t="s">
        <v>31</v>
      </c>
      <c r="H17" s="64"/>
    </row>
    <row r="18" spans="2:11">
      <c r="B18" s="129"/>
      <c r="C18" s="129"/>
      <c r="D18" s="100" t="str">
        <f>Заявка!C17</f>
        <v>$ США</v>
      </c>
      <c r="E18" s="129"/>
      <c r="F18" s="129"/>
      <c r="G18" s="100" t="str">
        <f>D18</f>
        <v>$ США</v>
      </c>
      <c r="H18" s="65"/>
    </row>
    <row r="19" spans="2:11" ht="129.75" customHeight="1">
      <c r="B19" s="15">
        <v>1</v>
      </c>
      <c r="C19" s="16" t="str">
        <f>CONCATENATE("Транспортные услуги по маршруту: ",Заявка!B9,". Автомобиль: ",Заявка!B21,". Трансп. заявка  от ",Заявка!D3,", загрузка ",TEXT(Заявка!B10,"ДД.ММ.ГГГГ"),", выгрузка ",TEXT(Заявка!B11,"ДД.ММ.ГГГГ"),IF(J22="","",CONCATENATE(", номер контейнера: ",J22)),IF(J19=0,", ТТН ",", CMR "),CONCATENATE(J19,J20),IF(J21=0," . ",CONCATENATE(", п/л № ",J21,". ")))</f>
        <v xml:space="preserve">Транспортные услуги по маршруту: г. Брест, Беларусь - г. Бобруйск, Могилевская обл., Беларусь. Автомобиль: С/тягач Scania AM 9693-1, п/прицеп Mirofret А 4992 В-1 . Трансп. заявка  от 05.07.2017 N 544Ю, загрузка 05.07.2017, выгрузка 05.02.2019, ТТН ___ № _________, п/л № 041 от 05.07.2017. </v>
      </c>
      <c r="D19" s="68">
        <f>G19-F19</f>
        <v>133.82000000000002</v>
      </c>
      <c r="E19" s="26">
        <f>Заявка!B18</f>
        <v>20</v>
      </c>
      <c r="F19" s="68">
        <f>ROUND(G19*E19/(100+E19),2)</f>
        <v>26.76</v>
      </c>
      <c r="G19" s="68">
        <f>Заявка!B17</f>
        <v>160.58000000000001</v>
      </c>
      <c r="H19" s="66"/>
      <c r="J19" s="28"/>
      <c r="K19" t="s">
        <v>88</v>
      </c>
    </row>
    <row r="20" spans="2:11">
      <c r="B20" s="128" t="s">
        <v>36</v>
      </c>
      <c r="C20" s="128"/>
      <c r="D20" s="69">
        <f>D19</f>
        <v>133.82000000000002</v>
      </c>
      <c r="E20" s="69"/>
      <c r="F20" s="69">
        <f>F19</f>
        <v>26.76</v>
      </c>
      <c r="G20" s="82">
        <f>G19</f>
        <v>160.58000000000001</v>
      </c>
      <c r="H20" s="67"/>
      <c r="J20" s="27" t="s">
        <v>560</v>
      </c>
      <c r="K20" t="s">
        <v>102</v>
      </c>
    </row>
    <row r="21" spans="2:11">
      <c r="J21" s="52" t="s">
        <v>559</v>
      </c>
      <c r="K21" s="29" t="s">
        <v>217</v>
      </c>
    </row>
    <row r="22" spans="2:11" ht="15.75" customHeight="1">
      <c r="B22" s="124" t="str">
        <f>CONCATENATE("Сумма НДС:  ",IF(F19=0,0,CONCATENATE(СУММАПРОПИСЬЮ(F19)," ",VLOOKUP(D18,M1:N4,2,FALSE)," ",TEXT((F19-INT(F19))*100,"00")," ",VLOOKUP(D18,M1:Q4,5,FALSE),".")) )</f>
        <v>Сумма НДС:  двадцать шесть  долларов США 76 центов.</v>
      </c>
      <c r="C22" s="124"/>
      <c r="D22" s="124"/>
      <c r="E22" s="124"/>
      <c r="F22" s="124"/>
      <c r="G22" s="124"/>
      <c r="H22" s="56"/>
      <c r="J22" s="83"/>
      <c r="K22" s="84" t="s">
        <v>748</v>
      </c>
    </row>
    <row r="23" spans="2:11" ht="28.5" customHeight="1">
      <c r="B23" s="125" t="str">
        <f>CONCATENATE("Итого с НДС: ",СУММАПРОПИСЬЮ(G20)," ",VLOOKUP(D18,M1:Q4,2,FALSE),"  ",TEXT((G20-INT(G20))*100,"00")," ",VLOOKUP(D18,M1:Q4,5,FALSE),".")</f>
        <v>Итого с НДС: сто шестьдесят  долларов США  58 центов.</v>
      </c>
      <c r="C23" s="125"/>
      <c r="D23" s="125"/>
      <c r="E23" s="125"/>
      <c r="F23" s="125"/>
      <c r="G23" s="125"/>
      <c r="H23" s="56"/>
    </row>
    <row r="24" spans="2:11" ht="15.75" customHeight="1">
      <c r="J24" s="97"/>
    </row>
    <row r="25" spans="2:11" ht="15.75" customHeight="1">
      <c r="B25" t="str">
        <f>IF(J25=0,"",K25)</f>
        <v>Оплата производится в рублях по курсу Нацбанка РБ на день оплаты</v>
      </c>
      <c r="J25" s="23">
        <f>IF(Заявка!B19=Заявка!C17,0,1)</f>
        <v>1</v>
      </c>
      <c r="K25" t="s">
        <v>982</v>
      </c>
    </row>
    <row r="26" spans="2:11" ht="15.75" customHeight="1">
      <c r="J26" s="97"/>
    </row>
    <row r="27" spans="2:11" ht="15.75" customHeight="1">
      <c r="J27" s="97"/>
    </row>
    <row r="29" spans="2:11">
      <c r="B29" t="s">
        <v>295</v>
      </c>
      <c r="D29" s="10"/>
      <c r="E29" s="10"/>
      <c r="F29" t="s">
        <v>262</v>
      </c>
    </row>
    <row r="30" spans="2:11">
      <c r="B30" t="s">
        <v>81</v>
      </c>
    </row>
  </sheetData>
  <mergeCells count="14">
    <mergeCell ref="B22:G22"/>
    <mergeCell ref="B23:G23"/>
    <mergeCell ref="L7:M7"/>
    <mergeCell ref="B4:G4"/>
    <mergeCell ref="B5:G5"/>
    <mergeCell ref="B6:G6"/>
    <mergeCell ref="B7:G7"/>
    <mergeCell ref="B12:G12"/>
    <mergeCell ref="B15:G15"/>
    <mergeCell ref="B20:C20"/>
    <mergeCell ref="E17:E18"/>
    <mergeCell ref="F17:F18"/>
    <mergeCell ref="C17:C18"/>
    <mergeCell ref="B17:B18"/>
  </mergeCells>
  <pageMargins left="0.51181102362204722" right="0.31496062992125984" top="0.74803149606299213" bottom="0.74803149606299213" header="0.31496062992125984" footer="0.31496062992125984"/>
  <pageSetup paperSize="9"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6"/>
  <dimension ref="B4:I33"/>
  <sheetViews>
    <sheetView zoomScaleNormal="100" workbookViewId="0">
      <selection activeCell="G21" sqref="G21"/>
    </sheetView>
  </sheetViews>
  <sheetFormatPr defaultRowHeight="15"/>
  <cols>
    <col min="1" max="1" width="2" customWidth="1"/>
    <col min="2" max="2" width="5.85546875" customWidth="1"/>
    <col min="3" max="3" width="35.85546875" customWidth="1"/>
    <col min="4" max="4" width="10.85546875" customWidth="1"/>
    <col min="5" max="5" width="9" customWidth="1"/>
    <col min="6" max="6" width="13.7109375" customWidth="1"/>
    <col min="7" max="7" width="14.28515625" customWidth="1"/>
    <col min="8" max="8" width="2" customWidth="1"/>
    <col min="11" max="11" width="40.85546875" customWidth="1"/>
  </cols>
  <sheetData>
    <row r="4" spans="2:9" ht="11.25" customHeight="1">
      <c r="B4" s="114" t="str">
        <f>Протокол!B4</f>
        <v>Совместное общество с ограниченной ответственностью «КамелиТурКомпани»</v>
      </c>
      <c r="C4" s="114"/>
      <c r="D4" s="114"/>
      <c r="E4" s="114"/>
      <c r="F4" s="114"/>
      <c r="G4" s="114"/>
      <c r="H4" s="2"/>
      <c r="I4" s="2"/>
    </row>
    <row r="5" spans="2:9" ht="11.25" customHeight="1">
      <c r="B5" s="115" t="str">
        <f>Протокол!B5</f>
        <v>225003, Республика Беларусь, Брестская область, Брестский р-н, д.Тельмы-2, ул. Промышленная, д. 4</v>
      </c>
      <c r="C5" s="115"/>
      <c r="D5" s="115"/>
      <c r="E5" s="115"/>
      <c r="F5" s="115"/>
      <c r="G5" s="115"/>
    </row>
    <row r="6" spans="2:9" ht="33" customHeight="1">
      <c r="B6" s="126" t="s">
        <v>539</v>
      </c>
      <c r="C6" s="115"/>
      <c r="D6" s="115"/>
      <c r="E6" s="115"/>
      <c r="F6" s="115"/>
      <c r="G6" s="115"/>
    </row>
    <row r="7" spans="2:9" ht="11.25" customHeight="1">
      <c r="B7" s="118" t="str">
        <f>Протокол!B7</f>
        <v xml:space="preserve"> УНП 291126593, мобил: +375-29-7006100, факс: +375-162-456887, e-mail: cameli.turcompany@ya.ru</v>
      </c>
      <c r="C7" s="118"/>
      <c r="D7" s="118"/>
      <c r="E7" s="118"/>
      <c r="F7" s="118"/>
      <c r="G7" s="118"/>
    </row>
    <row r="8" spans="2:9">
      <c r="B8" s="1"/>
    </row>
    <row r="9" spans="2:9">
      <c r="B9" s="76"/>
      <c r="C9" s="77" t="s">
        <v>86</v>
      </c>
      <c r="D9" s="79" t="str">
        <f>Счет!D9</f>
        <v>0913-024</v>
      </c>
      <c r="E9" s="79" t="s">
        <v>34</v>
      </c>
      <c r="F9" s="81">
        <f>Заявка!B11</f>
        <v>43501</v>
      </c>
      <c r="G9" s="76"/>
    </row>
    <row r="10" spans="2:9">
      <c r="C10" s="104" t="str">
        <f>Протокол!J1</f>
        <v>к договору № 264 от 21.03.2018</v>
      </c>
      <c r="D10" s="104"/>
      <c r="E10" s="104"/>
      <c r="F10" s="104"/>
    </row>
    <row r="11" spans="2:9" ht="10.5" customHeight="1">
      <c r="C11" s="53"/>
      <c r="D11" s="53"/>
      <c r="E11" s="53"/>
      <c r="F11" s="53"/>
    </row>
    <row r="12" spans="2:9" ht="15.75">
      <c r="B12" s="3" t="s">
        <v>18</v>
      </c>
      <c r="C12" s="9"/>
      <c r="D12" s="11"/>
      <c r="F12" s="12"/>
    </row>
    <row r="13" spans="2:9" ht="29.25" customHeight="1">
      <c r="B13" s="127" t="str">
        <f>Счет!B12</f>
        <v>СООО "КамелиТурКомпани"
225003, Беларусь, Брестская обл., Брестский р-н, д.Тельмы-2, ул. Промышленная, д. 4
р/с в BYN № BY81SLAN30121643300530000000, в USD № BY29SLAN30121643350290100000, 
в Евро № BY34SLAN30121643350290000000, в RUB № BY24SLAN30121643350290200000, БИК SLANBY22, 
банк - ЗАО «Банк ВТБ (Беларусь)» РД № 500 в г. Брест (224016 г. Брест, ул. Московская, 208-1), МФО 153001108</v>
      </c>
      <c r="C13" s="127"/>
      <c r="D13" s="127"/>
      <c r="E13" s="127"/>
      <c r="F13" s="127"/>
      <c r="G13" s="127"/>
    </row>
    <row r="14" spans="2:9" ht="8.25" customHeight="1">
      <c r="B14" s="13"/>
      <c r="C14" s="13"/>
      <c r="D14" s="13"/>
      <c r="E14" s="13"/>
      <c r="F14" s="13"/>
      <c r="G14" s="13"/>
    </row>
    <row r="15" spans="2:9" ht="20.25" customHeight="1">
      <c r="B15" s="14" t="s">
        <v>35</v>
      </c>
      <c r="C15" s="13"/>
      <c r="D15" s="13"/>
      <c r="E15" s="13"/>
      <c r="F15" s="13"/>
      <c r="G15" s="13"/>
    </row>
    <row r="16" spans="2:9" ht="62.25" customHeight="1">
      <c r="B16" s="127" t="str">
        <f>Счет!B15</f>
        <v>ИП Рукша Анна Викторовна.230021, г. Гродно, ул. Белые Росы, 65-63 (230005, г. Гродно, ул. Гаспадарчая, 11), УНП 591259962, р/с BY44 AKBB 3013 0000 6188 6400 0000 (BYN), BY80 AKBB 3013 0000 6190 3400 0000 (RUB), BY43 AKBB 3013 0000 6189 9400 0000 (EUR), BY02 AKBB 3013 0000 6233 5400 0000 (USD), банк - ОАО «АСБ Беларусбанк», филиал № 400 – Гродненское областное управление, БИК AKBBBY21400, +375-33-6870094, vita_6870094@mail.ru</v>
      </c>
      <c r="C16" s="127"/>
      <c r="D16" s="127"/>
      <c r="E16" s="127"/>
      <c r="F16" s="127"/>
      <c r="G16" s="127"/>
    </row>
    <row r="17" spans="2:7" ht="12" customHeight="1"/>
    <row r="18" spans="2:7" ht="30">
      <c r="B18" s="130" t="s">
        <v>24</v>
      </c>
      <c r="C18" s="130" t="s">
        <v>32</v>
      </c>
      <c r="D18" s="5" t="s">
        <v>25</v>
      </c>
      <c r="E18" s="131" t="s">
        <v>29</v>
      </c>
      <c r="F18" s="131" t="s">
        <v>30</v>
      </c>
      <c r="G18" s="7" t="s">
        <v>31</v>
      </c>
    </row>
    <row r="19" spans="2:7">
      <c r="B19" s="130"/>
      <c r="C19" s="130"/>
      <c r="D19" s="6" t="str">
        <f>Заявка!C17</f>
        <v>$ США</v>
      </c>
      <c r="E19" s="131"/>
      <c r="F19" s="131"/>
      <c r="G19" s="8" t="str">
        <f>D19</f>
        <v>$ США</v>
      </c>
    </row>
    <row r="20" spans="2:7" ht="128.25" customHeight="1">
      <c r="B20" s="15">
        <v>1</v>
      </c>
      <c r="C20" s="16" t="str">
        <f>Счет!C19</f>
        <v xml:space="preserve">Транспортные услуги по маршруту: г. Брест, Беларусь - г. Бобруйск, Могилевская обл., Беларусь. Автомобиль: С/тягач Scania AM 9693-1, п/прицеп Mirofret А 4992 В-1 . Трансп. заявка  от 05.07.2017 N 544Ю, загрузка 05.07.2017, выгрузка 05.02.2019, ТТН ___ № _________, п/л № 041 от 05.07.2017. </v>
      </c>
      <c r="D20" s="68">
        <f>Счет!D19</f>
        <v>133.82000000000002</v>
      </c>
      <c r="E20" s="26">
        <f>Счет!E19</f>
        <v>20</v>
      </c>
      <c r="F20" s="68">
        <f>Счет!F19</f>
        <v>26.76</v>
      </c>
      <c r="G20" s="68">
        <f>Счет!G19</f>
        <v>160.58000000000001</v>
      </c>
    </row>
    <row r="21" spans="2:7">
      <c r="B21" s="132" t="s">
        <v>36</v>
      </c>
      <c r="C21" s="132"/>
      <c r="D21" s="69">
        <f>Счет!D20</f>
        <v>133.82000000000002</v>
      </c>
      <c r="E21" s="69"/>
      <c r="F21" s="69">
        <f>Счет!F20</f>
        <v>26.76</v>
      </c>
      <c r="G21" s="82">
        <f>Счет!G20</f>
        <v>160.58000000000001</v>
      </c>
    </row>
    <row r="23" spans="2:7" ht="25.5" customHeight="1">
      <c r="B23" s="124" t="e">
        <f>Счет!L7</f>
        <v>#N/A</v>
      </c>
      <c r="C23" s="124"/>
      <c r="D23" s="124" t="str">
        <f>Счет!$B$22</f>
        <v>Сумма НДС:  двадцать шесть  долларов США 76 центов.</v>
      </c>
      <c r="E23" s="124"/>
      <c r="F23" s="124"/>
      <c r="G23" s="124"/>
    </row>
    <row r="24" spans="2:7" ht="28.5" customHeight="1">
      <c r="B24" s="125" t="e">
        <f>Счет!#REF!</f>
        <v>#REF!</v>
      </c>
      <c r="C24" s="125"/>
      <c r="D24" s="125" t="str">
        <f>Счет!$B$23</f>
        <v>Итого с НДС: сто шестьдесят  долларов США  58 центов.</v>
      </c>
      <c r="E24" s="125"/>
      <c r="F24" s="125"/>
      <c r="G24" s="125"/>
    </row>
    <row r="25" spans="2:7">
      <c r="B25" s="76" t="s">
        <v>87</v>
      </c>
    </row>
    <row r="27" spans="2:7">
      <c r="B27" t="str">
        <f>Протокол!B15</f>
        <v>ИСПОЛНИТЕЛЬ:</v>
      </c>
      <c r="D27" t="str">
        <f>Протокол!E15</f>
        <v>ЗАКАЗЧИК:</v>
      </c>
    </row>
    <row r="28" spans="2:7">
      <c r="B28" t="str">
        <f>Протокол!B16</f>
        <v>СООО "КамелиТурКомпани"</v>
      </c>
      <c r="D28" t="str">
        <f>Протокол!E16</f>
        <v>ИП Рукша Анна Викторовна</v>
      </c>
    </row>
    <row r="30" spans="2:7">
      <c r="B30" t="str">
        <f>Протокол!B18</f>
        <v>Менеджер по перевозкам</v>
      </c>
      <c r="D30" t="str">
        <f>Протокол!E18</f>
        <v xml:space="preserve">ИП Рукша А.В. </v>
      </c>
    </row>
    <row r="32" spans="2:7">
      <c r="B32" t="str">
        <f>Протокол!B20</f>
        <v>__________________ О.Е. Баранчиков</v>
      </c>
      <c r="D32" t="str">
        <f>Протокол!E20</f>
        <v>___________________ А.В. Рукша</v>
      </c>
    </row>
    <row r="33" spans="2:4">
      <c r="B33" t="str">
        <f>Протокол!B21</f>
        <v>М.П.</v>
      </c>
      <c r="D33" t="str">
        <f>Протокол!E21</f>
        <v>М.П.</v>
      </c>
    </row>
  </sheetData>
  <mergeCells count="16">
    <mergeCell ref="B23:C23"/>
    <mergeCell ref="B24:C24"/>
    <mergeCell ref="D23:G23"/>
    <mergeCell ref="D24:G24"/>
    <mergeCell ref="B16:G16"/>
    <mergeCell ref="B18:B19"/>
    <mergeCell ref="C18:C19"/>
    <mergeCell ref="E18:E19"/>
    <mergeCell ref="F18:F19"/>
    <mergeCell ref="B21:C21"/>
    <mergeCell ref="B4:G4"/>
    <mergeCell ref="B5:G5"/>
    <mergeCell ref="B6:G6"/>
    <mergeCell ref="B7:G7"/>
    <mergeCell ref="B13:G13"/>
    <mergeCell ref="C10:F10"/>
  </mergeCells>
  <printOptions horizontalCentered="1" verticalCentered="1"/>
  <pageMargins left="7.874015748031496E-2" right="3.937007874015748E-2" top="3.937007874015748E-2" bottom="3.937007874015748E-2" header="1.968503937007874E-2" footer="1.968503937007874E-2"/>
  <pageSetup paperSize="9"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7"/>
  <dimension ref="A2:AE171"/>
  <sheetViews>
    <sheetView workbookViewId="0">
      <selection activeCell="B132" sqref="B132"/>
    </sheetView>
  </sheetViews>
  <sheetFormatPr defaultRowHeight="15"/>
  <cols>
    <col min="1" max="94" width="5.7109375" customWidth="1"/>
  </cols>
  <sheetData>
    <row r="2" spans="2:24" ht="23.25">
      <c r="B2" s="135" t="s">
        <v>84</v>
      </c>
      <c r="C2" s="135"/>
      <c r="D2" s="135"/>
      <c r="E2" s="135"/>
      <c r="F2" s="135"/>
      <c r="G2" s="135"/>
      <c r="H2" s="135"/>
      <c r="I2" s="135"/>
      <c r="J2" s="135"/>
      <c r="K2" s="135"/>
      <c r="P2" s="127" t="s">
        <v>664</v>
      </c>
      <c r="Q2" s="142"/>
      <c r="R2" s="142"/>
      <c r="T2" s="134" t="s">
        <v>632</v>
      </c>
      <c r="U2" s="134"/>
      <c r="V2" s="134"/>
      <c r="W2" s="134"/>
      <c r="X2" s="134"/>
    </row>
    <row r="3" spans="2:24">
      <c r="P3" s="142"/>
      <c r="Q3" s="142"/>
      <c r="R3" s="142"/>
      <c r="T3" s="134"/>
      <c r="U3" s="134"/>
      <c r="V3" s="134"/>
      <c r="W3" s="134"/>
      <c r="X3" s="134"/>
    </row>
    <row r="4" spans="2:24" ht="20.25">
      <c r="B4" s="51" t="s">
        <v>663</v>
      </c>
      <c r="C4" s="50"/>
      <c r="D4" s="50"/>
      <c r="E4" s="50"/>
      <c r="F4" s="50"/>
      <c r="G4" s="50"/>
      <c r="H4" s="50"/>
      <c r="I4" s="50"/>
      <c r="J4" s="50"/>
      <c r="K4" s="50"/>
      <c r="L4" s="22"/>
      <c r="P4" s="142"/>
      <c r="Q4" s="142"/>
      <c r="R4" s="142"/>
      <c r="T4" s="134"/>
      <c r="U4" s="134"/>
      <c r="V4" s="134"/>
      <c r="W4" s="134"/>
      <c r="X4" s="134"/>
    </row>
    <row r="5" spans="2:24" ht="20.25">
      <c r="B5" s="136" t="s">
        <v>218</v>
      </c>
      <c r="C5" s="136"/>
      <c r="D5" s="136"/>
      <c r="E5" s="136"/>
      <c r="F5" s="136"/>
      <c r="G5" s="136"/>
      <c r="H5" s="136"/>
      <c r="I5" s="136"/>
      <c r="J5" s="136"/>
      <c r="K5" s="136"/>
    </row>
    <row r="6" spans="2:24" ht="20.25">
      <c r="B6" s="136"/>
      <c r="C6" s="136"/>
      <c r="D6" s="136"/>
      <c r="E6" s="136"/>
      <c r="F6" s="136"/>
      <c r="G6" s="136"/>
      <c r="H6" s="136"/>
      <c r="I6" s="136"/>
      <c r="J6" s="136"/>
      <c r="K6" s="136"/>
    </row>
    <row r="7" spans="2:24" ht="6" customHeight="1"/>
    <row r="8" spans="2:24">
      <c r="B8" s="133" t="s">
        <v>665</v>
      </c>
      <c r="C8" s="133"/>
      <c r="D8" s="133"/>
      <c r="E8" s="133"/>
      <c r="F8" s="133"/>
      <c r="G8" s="133"/>
      <c r="H8" s="133"/>
      <c r="I8" s="133"/>
      <c r="J8" s="133"/>
      <c r="K8" s="133"/>
    </row>
    <row r="25" spans="14:24" ht="23.25">
      <c r="N25" s="139" t="str">
        <f>Заявка!D1</f>
        <v>ИП Рукша Анна Викторовна</v>
      </c>
      <c r="O25" s="139"/>
      <c r="P25" s="139"/>
      <c r="Q25" s="139"/>
      <c r="R25" s="139"/>
      <c r="S25" s="139"/>
      <c r="T25" s="139"/>
      <c r="U25" s="139"/>
      <c r="V25" s="139"/>
      <c r="W25" s="139"/>
      <c r="X25" s="139"/>
    </row>
    <row r="27" spans="14:24" ht="15" customHeight="1">
      <c r="N27" s="140" t="s">
        <v>564</v>
      </c>
      <c r="O27" s="141"/>
      <c r="P27" s="141"/>
      <c r="Q27" s="141"/>
      <c r="R27" s="141"/>
      <c r="S27" s="141"/>
      <c r="T27" s="141"/>
      <c r="U27" s="141"/>
      <c r="V27" s="141"/>
      <c r="W27" s="141"/>
      <c r="X27" s="141"/>
    </row>
    <row r="28" spans="14:24" ht="15" customHeight="1">
      <c r="N28" s="141"/>
      <c r="O28" s="141"/>
      <c r="P28" s="141"/>
      <c r="Q28" s="141"/>
      <c r="R28" s="141"/>
      <c r="S28" s="141"/>
      <c r="T28" s="141"/>
      <c r="U28" s="141"/>
      <c r="V28" s="141"/>
      <c r="W28" s="141"/>
      <c r="X28" s="141"/>
    </row>
    <row r="29" spans="14:24" ht="15" customHeight="1">
      <c r="N29" s="141"/>
      <c r="O29" s="141"/>
      <c r="P29" s="141"/>
      <c r="Q29" s="141"/>
      <c r="R29" s="141"/>
      <c r="S29" s="141"/>
      <c r="T29" s="141"/>
      <c r="U29" s="141"/>
      <c r="V29" s="141"/>
      <c r="W29" s="141"/>
      <c r="X29" s="141"/>
    </row>
    <row r="30" spans="14:24" ht="15" customHeight="1">
      <c r="N30" s="141"/>
      <c r="O30" s="141"/>
      <c r="P30" s="141"/>
      <c r="Q30" s="141"/>
      <c r="R30" s="141"/>
      <c r="S30" s="141"/>
      <c r="T30" s="141"/>
      <c r="U30" s="141"/>
      <c r="V30" s="141"/>
      <c r="W30" s="141"/>
      <c r="X30" s="141"/>
    </row>
    <row r="31" spans="14:24" ht="15" customHeight="1">
      <c r="N31" s="141"/>
      <c r="O31" s="141"/>
      <c r="P31" s="141"/>
      <c r="Q31" s="141"/>
      <c r="R31" s="141"/>
      <c r="S31" s="141"/>
      <c r="T31" s="141"/>
      <c r="U31" s="141"/>
      <c r="V31" s="141"/>
      <c r="W31" s="141"/>
      <c r="X31" s="141"/>
    </row>
    <row r="32" spans="14:24" ht="15" customHeight="1">
      <c r="N32" s="141"/>
      <c r="O32" s="141"/>
      <c r="P32" s="141"/>
      <c r="Q32" s="141"/>
      <c r="R32" s="141"/>
      <c r="S32" s="141"/>
      <c r="T32" s="141"/>
      <c r="U32" s="141"/>
      <c r="V32" s="141"/>
      <c r="W32" s="141"/>
      <c r="X32" s="141"/>
    </row>
    <row r="33" spans="2:24" ht="6" customHeight="1"/>
    <row r="34" spans="2:24">
      <c r="N34" s="143" t="s">
        <v>563</v>
      </c>
      <c r="O34" s="143"/>
      <c r="P34" s="143"/>
      <c r="Q34" s="143"/>
      <c r="R34" s="143"/>
      <c r="S34" s="143"/>
      <c r="T34" s="143"/>
      <c r="U34" s="143"/>
      <c r="V34" s="143"/>
      <c r="W34" s="143"/>
      <c r="X34" s="70"/>
    </row>
    <row r="39" spans="2:24" ht="23.25">
      <c r="B39" s="34" t="str">
        <f>N25</f>
        <v>ИП Рукша Анна Викторовна</v>
      </c>
      <c r="C39" s="34"/>
      <c r="D39" s="34"/>
      <c r="E39" s="34"/>
      <c r="F39" s="34"/>
      <c r="G39" s="34"/>
      <c r="H39" s="34"/>
      <c r="I39" s="34"/>
      <c r="J39" s="34"/>
      <c r="K39" s="34"/>
      <c r="L39" s="22"/>
    </row>
    <row r="41" spans="2:24">
      <c r="B41" s="137" t="str">
        <f>N27</f>
        <v>ул. Гоголя, д. 188В, 
213810, Могилевская обл., 
г. Бобруйск, Беларусь</v>
      </c>
      <c r="C41" s="138"/>
      <c r="D41" s="138"/>
      <c r="E41" s="138"/>
      <c r="F41" s="138"/>
      <c r="G41" s="138"/>
      <c r="H41" s="138"/>
      <c r="I41" s="138"/>
      <c r="J41" s="138"/>
      <c r="K41" s="138"/>
      <c r="L41" s="138"/>
    </row>
    <row r="42" spans="2:24">
      <c r="B42" s="138"/>
      <c r="C42" s="138"/>
      <c r="D42" s="138"/>
      <c r="E42" s="138"/>
      <c r="F42" s="138"/>
      <c r="G42" s="138"/>
      <c r="H42" s="138"/>
      <c r="I42" s="138"/>
      <c r="J42" s="138"/>
      <c r="K42" s="138"/>
      <c r="L42" s="138"/>
    </row>
    <row r="43" spans="2:24">
      <c r="B43" s="138"/>
      <c r="C43" s="138"/>
      <c r="D43" s="138"/>
      <c r="E43" s="138"/>
      <c r="F43" s="138"/>
      <c r="G43" s="138"/>
      <c r="H43" s="138"/>
      <c r="I43" s="138"/>
      <c r="J43" s="138"/>
      <c r="K43" s="138"/>
      <c r="L43" s="138"/>
    </row>
    <row r="44" spans="2:24">
      <c r="B44" s="138"/>
      <c r="C44" s="138"/>
      <c r="D44" s="138"/>
      <c r="E44" s="138"/>
      <c r="F44" s="138"/>
      <c r="G44" s="138"/>
      <c r="H44" s="138"/>
      <c r="I44" s="138"/>
      <c r="J44" s="138"/>
      <c r="K44" s="138"/>
      <c r="L44" s="138"/>
    </row>
    <row r="45" spans="2:24">
      <c r="B45" s="138"/>
      <c r="C45" s="138"/>
      <c r="D45" s="138"/>
      <c r="E45" s="138"/>
      <c r="F45" s="138"/>
      <c r="G45" s="138"/>
      <c r="H45" s="138"/>
      <c r="I45" s="138"/>
      <c r="J45" s="138"/>
      <c r="K45" s="138"/>
      <c r="L45" s="138"/>
    </row>
    <row r="46" spans="2:24" ht="6" customHeight="1"/>
    <row r="47" spans="2:24">
      <c r="B47" s="133" t="str">
        <f>N34</f>
        <v>(тел.: +375-29-6665003)</v>
      </c>
      <c r="C47" s="133"/>
      <c r="D47" s="133"/>
      <c r="E47" s="133"/>
      <c r="F47" s="133"/>
      <c r="G47" s="133"/>
      <c r="H47" s="133"/>
      <c r="I47" s="133"/>
      <c r="J47" s="133"/>
      <c r="K47" s="133"/>
      <c r="L47" s="133"/>
    </row>
    <row r="66" spans="4:31" ht="23.25">
      <c r="N66" s="135" t="str">
        <f>B2</f>
        <v>СООО "КамелиТурКомпани"</v>
      </c>
      <c r="O66" s="135"/>
      <c r="P66" s="135"/>
      <c r="Q66" s="135"/>
      <c r="R66" s="135"/>
      <c r="S66" s="135"/>
      <c r="T66" s="135"/>
      <c r="U66" s="135"/>
      <c r="V66" s="135"/>
      <c r="W66" s="135"/>
      <c r="X66" s="135"/>
    </row>
    <row r="68" spans="4:31" ht="20.25">
      <c r="N68" s="31" t="str">
        <f>B4</f>
        <v xml:space="preserve">224024, г. Брест, ул. Чернянская, д. 8/2, </v>
      </c>
      <c r="O68" s="31"/>
      <c r="P68" s="31"/>
      <c r="Q68" s="31"/>
      <c r="R68" s="31"/>
      <c r="S68" s="31"/>
      <c r="T68" s="31"/>
      <c r="U68" s="31"/>
      <c r="V68" s="31"/>
      <c r="W68" s="31"/>
      <c r="X68" s="33"/>
    </row>
    <row r="69" spans="4:31" ht="20.25">
      <c r="N69" s="31" t="str">
        <f>B5</f>
        <v>Беларусь</v>
      </c>
      <c r="O69" s="31"/>
      <c r="P69" s="31"/>
      <c r="Q69" s="31"/>
      <c r="R69" s="31"/>
      <c r="S69" s="31"/>
      <c r="T69" s="31"/>
      <c r="U69" s="31"/>
      <c r="V69" s="31"/>
      <c r="W69" s="31"/>
      <c r="X69" s="33"/>
    </row>
    <row r="70" spans="4:31" ht="20.25">
      <c r="N70" s="31" t="str">
        <f>IF(B6="","",B6)</f>
        <v/>
      </c>
      <c r="O70" s="31"/>
      <c r="P70" s="31"/>
      <c r="Q70" s="31"/>
      <c r="R70" s="31"/>
      <c r="S70" s="31"/>
      <c r="T70" s="31"/>
      <c r="U70" s="31"/>
      <c r="V70" s="31"/>
      <c r="W70" s="31"/>
      <c r="X70" s="33"/>
    </row>
    <row r="71" spans="4:31" ht="8.25" customHeight="1">
      <c r="N71" s="32"/>
      <c r="O71" s="32"/>
      <c r="P71" s="32"/>
      <c r="Q71" s="32"/>
      <c r="R71" s="32"/>
      <c r="S71" s="32"/>
      <c r="T71" s="32"/>
      <c r="U71" s="32"/>
      <c r="V71" s="32"/>
      <c r="W71" s="32"/>
      <c r="X71" s="32"/>
    </row>
    <row r="72" spans="4:31">
      <c r="N72" s="133" t="str">
        <f>B8</f>
        <v>(тел.: +375-29-7006100, факс: +375-162-456887)</v>
      </c>
      <c r="O72" s="133"/>
      <c r="P72" s="133"/>
      <c r="Q72" s="133"/>
      <c r="R72" s="133"/>
      <c r="S72" s="133"/>
      <c r="T72" s="133"/>
      <c r="U72" s="133"/>
      <c r="V72" s="133"/>
      <c r="W72" s="133"/>
      <c r="X72" s="30"/>
    </row>
    <row r="77" spans="4:31">
      <c r="D77" s="12"/>
      <c r="E77" s="12"/>
      <c r="F77" s="12"/>
      <c r="G77" s="49"/>
    </row>
    <row r="78" spans="4:31">
      <c r="D78" s="12"/>
      <c r="E78" s="12"/>
      <c r="F78" s="12"/>
      <c r="G78" s="37"/>
      <c r="H78" s="36"/>
      <c r="I78" s="36"/>
      <c r="J78" s="37"/>
      <c r="K78" s="36"/>
      <c r="L78" s="36"/>
      <c r="M78" s="36"/>
      <c r="N78" s="36"/>
      <c r="O78" s="36"/>
      <c r="P78" s="36"/>
      <c r="Q78" s="36"/>
      <c r="R78" s="36"/>
      <c r="S78" s="36"/>
      <c r="T78" s="36"/>
      <c r="U78" s="36"/>
      <c r="V78" s="36"/>
      <c r="W78" s="39" t="s">
        <v>263</v>
      </c>
      <c r="X78" s="36"/>
      <c r="Y78" s="36"/>
      <c r="Z78" s="36"/>
      <c r="AA78" s="36"/>
      <c r="AB78" s="36"/>
      <c r="AC78" s="36"/>
      <c r="AD78" s="36"/>
      <c r="AE78" s="36"/>
    </row>
    <row r="79" spans="4:31">
      <c r="D79" s="12"/>
      <c r="E79" s="12"/>
      <c r="F79" s="12"/>
      <c r="G79" s="37"/>
      <c r="H79" s="36"/>
      <c r="I79" s="36"/>
      <c r="J79" s="37"/>
      <c r="K79" s="36"/>
      <c r="L79" s="36"/>
      <c r="M79" s="36"/>
      <c r="N79" s="36"/>
      <c r="O79" s="36"/>
      <c r="P79" s="36"/>
      <c r="Q79" s="36"/>
      <c r="R79" s="36"/>
      <c r="S79" s="133" t="str">
        <f>T2</f>
        <v>Договор N215 от 10.04.2013</v>
      </c>
      <c r="T79" s="133"/>
      <c r="U79" s="133"/>
      <c r="V79" s="133"/>
      <c r="W79" s="133"/>
      <c r="X79" s="133"/>
      <c r="Y79" s="36"/>
      <c r="Z79" s="36"/>
      <c r="AA79" s="36"/>
      <c r="AB79" s="36"/>
      <c r="AC79" s="36"/>
      <c r="AD79" s="36"/>
      <c r="AE79" s="36"/>
    </row>
    <row r="80" spans="4:31">
      <c r="D80" s="12"/>
      <c r="E80" s="12"/>
      <c r="F80" s="12"/>
      <c r="G80" s="37"/>
      <c r="H80" s="36"/>
      <c r="I80" s="36"/>
      <c r="J80" s="37"/>
      <c r="K80" s="36"/>
      <c r="L80" s="36"/>
      <c r="M80" s="36"/>
      <c r="N80" s="36"/>
      <c r="O80" s="36"/>
      <c r="P80" s="36"/>
      <c r="Q80" s="36"/>
      <c r="R80" s="36"/>
      <c r="S80" s="36"/>
      <c r="T80" s="36"/>
      <c r="U80" s="36"/>
      <c r="V80" s="36"/>
      <c r="W80" s="36"/>
      <c r="X80" s="36"/>
      <c r="Y80" s="36"/>
      <c r="Z80" s="36"/>
      <c r="AA80" s="36"/>
      <c r="AB80" s="36"/>
      <c r="AC80" s="36"/>
      <c r="AD80" s="36"/>
      <c r="AE80" s="36"/>
    </row>
    <row r="81" spans="4:31">
      <c r="D81" s="12"/>
      <c r="E81" s="12"/>
      <c r="F81" s="12"/>
      <c r="G81" s="37"/>
      <c r="H81" s="36"/>
      <c r="I81" s="36"/>
      <c r="J81" s="37"/>
      <c r="K81" s="36"/>
      <c r="L81" s="36"/>
      <c r="M81" s="36"/>
      <c r="N81" s="36"/>
      <c r="O81" s="36"/>
      <c r="P81" s="36"/>
      <c r="Q81" s="36"/>
      <c r="R81" s="36"/>
      <c r="S81" s="36"/>
      <c r="T81" s="36"/>
      <c r="U81" s="36"/>
      <c r="V81" s="36"/>
      <c r="W81" s="36"/>
      <c r="X81" s="36"/>
      <c r="Y81" s="36"/>
      <c r="Z81" s="36"/>
      <c r="AA81" s="36"/>
      <c r="AB81" s="36"/>
      <c r="AC81" s="36"/>
      <c r="AD81" s="36"/>
      <c r="AE81" s="36"/>
    </row>
    <row r="82" spans="4:31" ht="16.5">
      <c r="D82" s="12"/>
      <c r="E82" s="12"/>
      <c r="F82" s="12"/>
      <c r="G82" s="37"/>
      <c r="H82" s="36"/>
      <c r="I82" s="36"/>
      <c r="J82" s="37"/>
      <c r="K82" s="144" t="s">
        <v>264</v>
      </c>
      <c r="L82" s="144"/>
      <c r="M82" s="144"/>
      <c r="N82" s="144"/>
      <c r="O82" s="144"/>
      <c r="P82" s="144"/>
      <c r="Q82" s="144"/>
      <c r="R82" s="144"/>
      <c r="S82" s="144"/>
      <c r="T82" s="144"/>
      <c r="U82" s="144"/>
      <c r="V82" s="144"/>
      <c r="W82" s="144"/>
      <c r="X82" s="144"/>
      <c r="Y82" s="36"/>
      <c r="Z82" s="36"/>
      <c r="AA82" s="36"/>
      <c r="AB82" s="36"/>
      <c r="AC82" s="36"/>
      <c r="AD82" s="36"/>
      <c r="AE82" s="36"/>
    </row>
    <row r="83" spans="4:31" ht="6.75" customHeight="1">
      <c r="D83" s="12"/>
      <c r="E83" s="12"/>
      <c r="F83" s="12"/>
      <c r="G83" s="37"/>
      <c r="H83" s="36"/>
      <c r="I83" s="36"/>
      <c r="J83" s="37"/>
      <c r="K83" s="36"/>
      <c r="L83" s="36"/>
      <c r="M83" s="36"/>
      <c r="N83" s="36"/>
      <c r="O83" s="36"/>
      <c r="P83" s="36"/>
      <c r="Q83" s="36"/>
      <c r="R83" s="36"/>
      <c r="S83" s="36"/>
      <c r="T83" s="36"/>
      <c r="U83" s="36"/>
      <c r="V83" s="36"/>
      <c r="W83" s="36"/>
      <c r="X83" s="36"/>
      <c r="Y83" s="36"/>
      <c r="Z83" s="36"/>
      <c r="AA83" s="36"/>
      <c r="AB83" s="36"/>
      <c r="AC83" s="36"/>
      <c r="AD83" s="36"/>
      <c r="AE83" s="36"/>
    </row>
    <row r="84" spans="4:31">
      <c r="D84" s="12"/>
      <c r="E84" s="12"/>
      <c r="F84" s="12"/>
      <c r="G84" s="37"/>
      <c r="H84" s="36"/>
      <c r="I84" s="36"/>
      <c r="J84" s="37"/>
      <c r="K84" s="145" t="s">
        <v>265</v>
      </c>
      <c r="L84" s="145"/>
      <c r="M84" s="145"/>
      <c r="N84" s="145"/>
      <c r="O84" s="145"/>
      <c r="P84" s="145"/>
      <c r="Q84" s="145"/>
      <c r="R84" s="145"/>
      <c r="S84" s="145"/>
      <c r="T84" s="145"/>
      <c r="U84" s="145"/>
      <c r="V84" s="145"/>
      <c r="W84" s="145"/>
      <c r="X84" s="145"/>
      <c r="Y84" s="36"/>
      <c r="Z84" s="36"/>
      <c r="AA84" s="36"/>
      <c r="AB84" s="36"/>
      <c r="AC84" s="36"/>
      <c r="AD84" s="36"/>
      <c r="AE84" s="36"/>
    </row>
    <row r="85" spans="4:31" ht="6.75" customHeight="1">
      <c r="D85" s="12"/>
      <c r="E85" s="12"/>
      <c r="F85" s="12"/>
      <c r="G85" s="37"/>
      <c r="H85" s="36"/>
      <c r="I85" s="36"/>
      <c r="J85" s="37"/>
      <c r="K85" s="36"/>
      <c r="L85" s="36"/>
      <c r="M85" s="36"/>
      <c r="N85" s="36"/>
      <c r="O85" s="36"/>
      <c r="P85" s="36"/>
      <c r="Q85" s="36"/>
      <c r="R85" s="36"/>
      <c r="S85" s="36"/>
      <c r="T85" s="36"/>
      <c r="U85" s="36"/>
      <c r="V85" s="36"/>
      <c r="W85" s="36"/>
      <c r="X85" s="36"/>
      <c r="Y85" s="36"/>
      <c r="Z85" s="36"/>
      <c r="AA85" s="36"/>
      <c r="AB85" s="36"/>
      <c r="AC85" s="36"/>
      <c r="AD85" s="36"/>
      <c r="AE85" s="36"/>
    </row>
    <row r="86" spans="4:31" ht="18">
      <c r="D86" s="12"/>
      <c r="E86" s="12"/>
      <c r="F86" s="12"/>
      <c r="G86" s="37"/>
      <c r="H86" s="36"/>
      <c r="I86" s="36"/>
      <c r="J86" s="146" t="s">
        <v>266</v>
      </c>
      <c r="K86" s="147"/>
      <c r="L86" s="148" t="str">
        <f>N66</f>
        <v>СООО "КамелиТурКомпани"</v>
      </c>
      <c r="M86" s="148"/>
      <c r="N86" s="148"/>
      <c r="O86" s="148"/>
      <c r="P86" s="148"/>
      <c r="Q86" s="148"/>
      <c r="R86" s="148"/>
      <c r="S86" s="148"/>
      <c r="T86" s="148"/>
      <c r="U86" s="148"/>
      <c r="V86" s="148"/>
      <c r="W86" s="148"/>
      <c r="X86" s="36"/>
      <c r="Y86" s="36"/>
      <c r="Z86" s="36"/>
      <c r="AA86" s="36"/>
      <c r="AB86" s="36"/>
      <c r="AC86" s="36"/>
      <c r="AD86" s="36"/>
      <c r="AE86" s="36"/>
    </row>
    <row r="87" spans="4:31">
      <c r="D87" s="12"/>
      <c r="E87" s="12"/>
      <c r="F87" s="12"/>
      <c r="G87" s="37"/>
      <c r="H87" s="36"/>
      <c r="I87" s="36"/>
      <c r="J87" s="37"/>
      <c r="K87" s="36"/>
      <c r="L87" s="149"/>
      <c r="M87" s="149"/>
      <c r="N87" s="149"/>
      <c r="O87" s="149"/>
      <c r="P87" s="149"/>
      <c r="Q87" s="149"/>
      <c r="R87" s="149"/>
      <c r="S87" s="149"/>
      <c r="T87" s="149"/>
      <c r="U87" s="149"/>
      <c r="V87" s="149"/>
      <c r="W87" s="149"/>
      <c r="X87" s="36"/>
      <c r="Y87" s="36"/>
      <c r="Z87" s="36"/>
      <c r="AA87" s="36"/>
      <c r="AB87" s="36"/>
      <c r="AC87" s="36"/>
      <c r="AD87" s="36"/>
      <c r="AE87" s="36"/>
    </row>
    <row r="88" spans="4:31" ht="6.75" customHeight="1">
      <c r="D88" s="12"/>
      <c r="E88" s="12"/>
      <c r="F88" s="12"/>
      <c r="G88" s="37"/>
      <c r="H88" s="36"/>
      <c r="I88" s="36"/>
      <c r="J88" s="37"/>
      <c r="K88" s="36"/>
      <c r="L88" s="36"/>
      <c r="M88" s="36"/>
      <c r="N88" s="36"/>
      <c r="O88" s="36"/>
      <c r="P88" s="36"/>
      <c r="Q88" s="36"/>
      <c r="R88" s="36"/>
      <c r="S88" s="36"/>
      <c r="T88" s="36"/>
      <c r="U88" s="36"/>
      <c r="V88" s="36"/>
      <c r="W88" s="36"/>
      <c r="X88" s="36"/>
      <c r="Y88" s="36"/>
      <c r="Z88" s="36"/>
      <c r="AA88" s="36"/>
      <c r="AB88" s="36"/>
      <c r="AC88" s="36"/>
      <c r="AD88" s="36"/>
      <c r="AE88" s="36"/>
    </row>
    <row r="89" spans="4:31" ht="18">
      <c r="D89" s="12"/>
      <c r="E89" s="12"/>
      <c r="F89" s="12"/>
      <c r="G89" s="37"/>
      <c r="H89" s="36"/>
      <c r="I89" s="36"/>
      <c r="J89" s="146" t="s">
        <v>267</v>
      </c>
      <c r="K89" s="150"/>
      <c r="L89" s="148" t="str">
        <f>N68</f>
        <v xml:space="preserve">224024, г. Брест, ул. Чернянская, д. 8/2, </v>
      </c>
      <c r="M89" s="148"/>
      <c r="N89" s="148"/>
      <c r="O89" s="148"/>
      <c r="P89" s="148"/>
      <c r="Q89" s="148"/>
      <c r="R89" s="148"/>
      <c r="S89" s="148"/>
      <c r="T89" s="148"/>
      <c r="U89" s="148"/>
      <c r="V89" s="148"/>
      <c r="W89" s="148"/>
      <c r="X89" s="36"/>
      <c r="Y89" s="36"/>
      <c r="Z89" s="36"/>
      <c r="AA89" s="36"/>
      <c r="AB89" s="36"/>
      <c r="AC89" s="36"/>
      <c r="AD89" s="36"/>
      <c r="AE89" s="36"/>
    </row>
    <row r="90" spans="4:31" ht="18">
      <c r="D90" s="12"/>
      <c r="E90" s="12"/>
      <c r="F90" s="12"/>
      <c r="G90" s="37"/>
      <c r="H90" s="36"/>
      <c r="I90" s="36"/>
      <c r="J90" s="37"/>
      <c r="K90" s="36"/>
      <c r="L90" s="151" t="str">
        <f>N69</f>
        <v>Беларусь</v>
      </c>
      <c r="M90" s="151"/>
      <c r="N90" s="151"/>
      <c r="O90" s="151"/>
      <c r="P90" s="151"/>
      <c r="Q90" s="151"/>
      <c r="R90" s="151"/>
      <c r="S90" s="151"/>
      <c r="T90" s="151"/>
      <c r="U90" s="151"/>
      <c r="V90" s="151"/>
      <c r="W90" s="151"/>
      <c r="X90" s="36"/>
      <c r="Y90" s="36"/>
      <c r="Z90" s="36"/>
      <c r="AA90" s="36"/>
      <c r="AB90" s="36"/>
      <c r="AC90" s="36"/>
      <c r="AD90" s="36"/>
      <c r="AE90" s="36"/>
    </row>
    <row r="91" spans="4:31" ht="18">
      <c r="D91" s="12"/>
      <c r="E91" s="12"/>
      <c r="F91" s="12"/>
      <c r="G91" s="37"/>
      <c r="H91" s="36"/>
      <c r="I91" s="36"/>
      <c r="J91" s="37"/>
      <c r="K91" s="36"/>
      <c r="L91" s="151" t="str">
        <f>N70</f>
        <v/>
      </c>
      <c r="M91" s="151"/>
      <c r="N91" s="151"/>
      <c r="O91" s="151"/>
      <c r="P91" s="151"/>
      <c r="Q91" s="151"/>
      <c r="R91" s="151"/>
      <c r="S91" s="151"/>
      <c r="T91" s="151"/>
      <c r="U91" s="151"/>
      <c r="V91" s="151"/>
      <c r="W91" s="151"/>
      <c r="X91" s="36"/>
      <c r="Y91" s="36"/>
      <c r="Z91" s="36"/>
      <c r="AA91" s="36"/>
      <c r="AB91" s="36"/>
      <c r="AC91" s="36"/>
      <c r="AD91" s="36"/>
      <c r="AE91" s="36"/>
    </row>
    <row r="92" spans="4:31" ht="10.5" customHeight="1">
      <c r="D92" s="12"/>
      <c r="E92" s="12"/>
      <c r="F92" s="12"/>
      <c r="G92" s="37"/>
      <c r="H92" s="36"/>
      <c r="I92" s="36"/>
      <c r="J92" s="37"/>
      <c r="K92" s="36"/>
      <c r="L92" s="152" t="str">
        <f>N72</f>
        <v>(тел.: +375-29-7006100, факс: +375-162-456887)</v>
      </c>
      <c r="M92" s="152"/>
      <c r="N92" s="152"/>
      <c r="O92" s="152"/>
      <c r="P92" s="152"/>
      <c r="Q92" s="152"/>
      <c r="R92" s="152"/>
      <c r="S92" s="152"/>
      <c r="T92" s="152"/>
      <c r="U92" s="152"/>
      <c r="V92" s="152"/>
      <c r="W92" s="152"/>
      <c r="X92" s="36"/>
      <c r="Y92" s="36"/>
      <c r="Z92" s="36"/>
      <c r="AA92" s="36"/>
      <c r="AB92" s="36"/>
      <c r="AC92" s="36"/>
      <c r="AD92" s="36"/>
      <c r="AE92" s="36"/>
    </row>
    <row r="93" spans="4:31">
      <c r="D93" s="12"/>
      <c r="E93" s="12"/>
      <c r="F93" s="12"/>
      <c r="G93" s="37"/>
      <c r="H93" s="36"/>
      <c r="I93" s="36"/>
      <c r="J93" s="37"/>
      <c r="K93" s="36"/>
      <c r="L93" s="38"/>
      <c r="M93" s="38"/>
      <c r="N93" s="38"/>
      <c r="O93" s="38"/>
      <c r="P93" s="38"/>
      <c r="Q93" s="38"/>
      <c r="R93" s="38"/>
      <c r="S93" s="38"/>
      <c r="T93" s="38"/>
      <c r="U93" s="38"/>
      <c r="V93" s="38"/>
      <c r="W93" s="38"/>
      <c r="X93" s="36"/>
      <c r="Y93" s="36"/>
      <c r="Z93" s="36"/>
      <c r="AA93" s="36"/>
      <c r="AB93" s="36"/>
      <c r="AC93" s="36"/>
      <c r="AD93" s="36"/>
      <c r="AE93" s="36"/>
    </row>
    <row r="94" spans="4:31">
      <c r="D94" s="12"/>
      <c r="E94" s="12"/>
      <c r="F94" s="12"/>
      <c r="G94" s="37"/>
      <c r="H94" s="36"/>
      <c r="I94" s="36"/>
      <c r="J94" s="37"/>
      <c r="K94" s="36"/>
      <c r="L94" s="36"/>
      <c r="M94" s="36"/>
      <c r="N94" s="36"/>
      <c r="O94" s="36"/>
      <c r="P94" s="36"/>
      <c r="Q94" s="36"/>
      <c r="R94" s="36"/>
      <c r="S94" s="36"/>
      <c r="T94" s="36"/>
      <c r="U94" s="36"/>
      <c r="V94" s="36"/>
      <c r="W94" s="36"/>
      <c r="X94" s="36"/>
      <c r="Y94" s="36"/>
      <c r="Z94" s="36"/>
      <c r="AA94" s="36"/>
      <c r="AB94" s="36"/>
      <c r="AC94" s="36"/>
      <c r="AD94" s="36"/>
      <c r="AE94" s="36"/>
    </row>
    <row r="95" spans="4:31" ht="9.75" customHeight="1">
      <c r="D95" s="12"/>
      <c r="E95" s="12"/>
      <c r="F95" s="12"/>
      <c r="G95" s="37"/>
      <c r="H95" s="36"/>
      <c r="I95" s="36"/>
      <c r="J95" s="37"/>
      <c r="K95" s="36"/>
      <c r="L95" s="36"/>
      <c r="M95" s="36"/>
      <c r="N95" s="36"/>
      <c r="O95" s="36"/>
      <c r="P95" s="36"/>
      <c r="Q95" s="36"/>
      <c r="R95" s="36"/>
      <c r="S95" s="36"/>
      <c r="T95" s="36"/>
      <c r="U95" s="36"/>
      <c r="V95" s="36"/>
      <c r="W95" s="36"/>
      <c r="X95" s="36"/>
      <c r="Y95" s="36"/>
      <c r="Z95" s="36"/>
      <c r="AA95" s="36"/>
      <c r="AB95" s="36"/>
      <c r="AC95" s="36"/>
      <c r="AD95" s="36"/>
      <c r="AE95" s="36"/>
    </row>
    <row r="96" spans="4:31" ht="9.75" customHeight="1">
      <c r="D96" s="12"/>
      <c r="E96" s="12"/>
      <c r="F96" s="12"/>
      <c r="G96" s="37"/>
      <c r="H96" s="36"/>
      <c r="I96" s="36"/>
      <c r="J96" s="36"/>
      <c r="K96" s="36"/>
      <c r="L96" s="36"/>
      <c r="M96" s="36"/>
      <c r="N96" s="36"/>
      <c r="O96" s="36"/>
      <c r="P96" s="36"/>
      <c r="Q96" s="36"/>
      <c r="R96" s="36"/>
      <c r="S96" s="36"/>
      <c r="T96" s="36"/>
      <c r="U96" s="153" t="s">
        <v>268</v>
      </c>
      <c r="V96" s="153"/>
      <c r="W96" s="153"/>
      <c r="X96" s="36"/>
      <c r="Y96" s="36"/>
      <c r="Z96" s="36"/>
      <c r="AA96" s="36"/>
      <c r="AB96" s="36"/>
      <c r="AC96" s="36"/>
      <c r="AD96" s="36"/>
      <c r="AE96" s="36"/>
    </row>
    <row r="97" spans="1:31" ht="9.75" customHeight="1">
      <c r="D97" s="12"/>
      <c r="E97" s="12"/>
      <c r="F97" s="12"/>
      <c r="G97" s="37"/>
      <c r="H97" s="36"/>
      <c r="I97" s="36"/>
      <c r="J97" s="36"/>
      <c r="K97" s="36"/>
      <c r="L97" s="36"/>
      <c r="M97" s="36"/>
      <c r="N97" s="36"/>
      <c r="O97" s="36"/>
      <c r="P97" s="36"/>
      <c r="Q97" s="36"/>
      <c r="R97" s="36"/>
      <c r="S97" s="36"/>
      <c r="T97" s="36"/>
      <c r="U97" s="153" t="s">
        <v>269</v>
      </c>
      <c r="V97" s="153"/>
      <c r="W97" s="153"/>
      <c r="X97" s="36"/>
      <c r="Y97" s="36"/>
      <c r="Z97" s="36"/>
      <c r="AA97" s="36"/>
      <c r="AB97" s="36"/>
      <c r="AC97" s="36"/>
      <c r="AD97" s="36"/>
      <c r="AE97" s="36"/>
    </row>
    <row r="98" spans="1:31" ht="9.75" customHeight="1">
      <c r="D98" s="12"/>
      <c r="E98" s="12"/>
      <c r="F98" s="12"/>
      <c r="G98" s="37"/>
      <c r="H98" s="36"/>
      <c r="I98" s="36"/>
      <c r="J98" s="36"/>
      <c r="K98" s="36"/>
      <c r="L98" s="36"/>
      <c r="M98" s="36"/>
      <c r="N98" s="36"/>
      <c r="O98" s="36"/>
      <c r="P98" s="36"/>
      <c r="Q98" s="36"/>
      <c r="R98" s="36"/>
      <c r="S98" s="36"/>
      <c r="T98" s="36"/>
      <c r="U98" s="153" t="s">
        <v>270</v>
      </c>
      <c r="V98" s="153"/>
      <c r="W98" s="153"/>
      <c r="X98" s="36"/>
      <c r="Y98" s="36"/>
      <c r="Z98" s="36"/>
      <c r="AA98" s="36"/>
      <c r="AB98" s="36"/>
      <c r="AC98" s="36"/>
      <c r="AD98" s="36"/>
      <c r="AE98" s="36"/>
    </row>
    <row r="99" spans="1:31" ht="8.25" customHeight="1">
      <c r="D99" s="12"/>
      <c r="E99" s="12"/>
      <c r="F99" s="12"/>
      <c r="G99" s="37"/>
      <c r="H99" s="45"/>
      <c r="I99" s="45"/>
      <c r="J99" s="45"/>
      <c r="K99" s="45"/>
      <c r="L99" s="45"/>
      <c r="M99" s="45"/>
      <c r="N99" s="45"/>
      <c r="O99" s="45"/>
      <c r="P99" s="45"/>
      <c r="Q99" s="45"/>
      <c r="R99" s="45"/>
      <c r="S99" s="45"/>
      <c r="T99" s="45"/>
      <c r="U99" s="45"/>
      <c r="V99" s="45"/>
      <c r="W99" s="45"/>
      <c r="X99" s="45"/>
      <c r="Y99" s="45"/>
      <c r="Z99" s="36"/>
      <c r="AA99" s="36"/>
      <c r="AB99" s="36"/>
      <c r="AC99" s="36"/>
      <c r="AD99" s="36"/>
      <c r="AE99" s="36"/>
    </row>
    <row r="100" spans="1:31" ht="8.25" customHeight="1">
      <c r="D100" s="12"/>
      <c r="E100" s="12"/>
      <c r="F100" s="12"/>
      <c r="G100" s="40"/>
      <c r="H100" s="40"/>
      <c r="I100" s="40"/>
      <c r="J100" s="40"/>
      <c r="K100" s="40"/>
      <c r="L100" s="40"/>
      <c r="M100" s="40"/>
      <c r="N100" s="40"/>
      <c r="O100" s="40"/>
      <c r="P100" s="40"/>
      <c r="Q100" s="40"/>
      <c r="R100" s="40"/>
      <c r="S100" s="40"/>
      <c r="T100" s="40"/>
      <c r="U100" s="40"/>
      <c r="V100" s="40"/>
      <c r="W100" s="40"/>
      <c r="X100" s="45"/>
      <c r="Y100" s="45"/>
      <c r="Z100" s="36"/>
      <c r="AA100" s="36"/>
      <c r="AB100" s="36"/>
      <c r="AC100" s="36"/>
      <c r="AD100" s="36"/>
      <c r="AE100" s="36"/>
    </row>
    <row r="101" spans="1:31" ht="15" customHeight="1">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row>
    <row r="102" spans="1:31" ht="15" customHeight="1">
      <c r="A102" s="45"/>
      <c r="B102" s="45"/>
      <c r="C102" s="45"/>
      <c r="D102" s="45"/>
      <c r="E102" s="45"/>
      <c r="F102" s="45"/>
      <c r="G102" s="45"/>
      <c r="H102" s="45"/>
      <c r="I102" s="45"/>
      <c r="J102" s="45"/>
      <c r="K102" s="45"/>
      <c r="L102" s="45"/>
      <c r="M102" s="45"/>
      <c r="N102" s="45"/>
      <c r="O102" s="45"/>
      <c r="P102" s="45"/>
      <c r="Q102" s="45"/>
      <c r="R102" s="45"/>
      <c r="S102" s="45"/>
      <c r="T102" s="36"/>
      <c r="U102" s="36"/>
      <c r="V102" s="36"/>
      <c r="W102" s="36"/>
      <c r="X102" s="36"/>
      <c r="Y102" s="36"/>
    </row>
    <row r="103" spans="1:31" ht="15" customHeight="1">
      <c r="A103" s="45"/>
      <c r="B103" s="45"/>
      <c r="C103" s="45"/>
      <c r="D103" s="45"/>
      <c r="E103" s="45"/>
      <c r="F103" s="45"/>
      <c r="G103" s="45"/>
      <c r="H103" s="45"/>
      <c r="I103" s="45"/>
      <c r="J103" s="45"/>
      <c r="K103" s="45"/>
      <c r="L103" s="45"/>
      <c r="M103" s="45"/>
      <c r="N103" s="45"/>
      <c r="O103" s="45"/>
      <c r="P103" s="45"/>
      <c r="Q103" s="45"/>
      <c r="R103" s="45"/>
      <c r="S103" s="45"/>
      <c r="T103" s="36"/>
      <c r="U103" s="36"/>
      <c r="V103" s="36"/>
      <c r="W103" s="36"/>
      <c r="X103" s="36"/>
      <c r="Y103" s="36"/>
    </row>
    <row r="104" spans="1:31" ht="15" customHeight="1">
      <c r="A104" s="45"/>
      <c r="B104" s="45"/>
      <c r="C104" s="45"/>
      <c r="D104" s="45"/>
      <c r="E104" s="45"/>
      <c r="F104" s="45"/>
      <c r="G104" s="45"/>
      <c r="H104" s="45"/>
      <c r="I104" s="45"/>
      <c r="J104" s="45"/>
      <c r="K104" s="45"/>
      <c r="L104" s="45"/>
      <c r="M104" s="45"/>
      <c r="N104" s="45"/>
      <c r="O104" s="45"/>
      <c r="P104" s="45"/>
      <c r="Q104" s="45"/>
      <c r="R104" s="45"/>
      <c r="S104" s="45"/>
      <c r="T104" s="36"/>
      <c r="U104" s="36"/>
      <c r="V104" s="36"/>
      <c r="W104" s="36"/>
      <c r="X104" s="36"/>
      <c r="Y104" s="36"/>
    </row>
    <row r="105" spans="1:31" ht="15" customHeight="1">
      <c r="A105" s="45"/>
      <c r="B105" s="45"/>
      <c r="C105" s="45"/>
      <c r="D105" s="45"/>
      <c r="E105" s="45"/>
      <c r="F105" s="45"/>
      <c r="G105" s="45"/>
      <c r="H105" s="45"/>
      <c r="I105" s="45"/>
      <c r="J105" s="45"/>
      <c r="K105" s="45"/>
      <c r="L105" s="45"/>
      <c r="M105" s="45"/>
      <c r="N105" s="45"/>
      <c r="O105" s="45"/>
      <c r="P105" s="45"/>
      <c r="Q105" s="45"/>
      <c r="R105" s="45"/>
      <c r="S105" s="45"/>
      <c r="T105" s="36"/>
      <c r="U105" s="36"/>
      <c r="V105" s="36"/>
      <c r="W105" s="36"/>
      <c r="X105" s="36"/>
      <c r="Y105" s="36"/>
    </row>
    <row r="106" spans="1:31" ht="15" customHeight="1">
      <c r="A106" s="45"/>
      <c r="B106" s="45"/>
      <c r="C106" s="45"/>
      <c r="D106" s="45"/>
      <c r="E106" s="45"/>
      <c r="F106" s="45"/>
      <c r="G106" s="45"/>
      <c r="H106" s="45"/>
      <c r="I106" s="45"/>
      <c r="J106" s="45"/>
      <c r="K106" s="45"/>
      <c r="L106" s="45"/>
      <c r="M106" s="45"/>
      <c r="N106" s="45"/>
      <c r="O106" s="45"/>
      <c r="P106" s="45"/>
      <c r="Q106" s="45"/>
      <c r="R106" s="45"/>
      <c r="S106" s="45"/>
      <c r="T106" s="36"/>
      <c r="U106" s="36"/>
      <c r="V106" s="36"/>
      <c r="W106" s="36"/>
      <c r="X106" s="36"/>
      <c r="Y106" s="36"/>
    </row>
    <row r="107" spans="1:31" ht="15" customHeight="1">
      <c r="A107" s="45"/>
      <c r="B107" s="45"/>
      <c r="C107" s="45"/>
      <c r="D107" s="45"/>
      <c r="E107" s="45"/>
      <c r="F107" s="45"/>
      <c r="G107" s="45"/>
      <c r="H107" s="45"/>
      <c r="I107" s="45"/>
      <c r="J107" s="45"/>
      <c r="K107" s="45"/>
      <c r="L107" s="45"/>
      <c r="M107" s="45"/>
      <c r="N107" s="45"/>
      <c r="O107" s="45"/>
      <c r="P107" s="45"/>
      <c r="Q107" s="45"/>
      <c r="R107" s="45"/>
      <c r="S107" s="45"/>
      <c r="T107" s="36"/>
      <c r="U107" s="36"/>
      <c r="V107" s="36"/>
      <c r="W107" s="36"/>
      <c r="X107" s="36"/>
      <c r="Y107" s="36"/>
    </row>
    <row r="108" spans="1:31" ht="15" customHeight="1">
      <c r="A108" s="45"/>
      <c r="B108" s="45"/>
      <c r="C108" s="45"/>
      <c r="D108" s="45"/>
      <c r="E108" s="45"/>
      <c r="F108" s="45"/>
      <c r="G108" s="45"/>
      <c r="H108" s="45"/>
      <c r="I108" s="45"/>
      <c r="J108" s="45"/>
      <c r="K108" s="45"/>
      <c r="L108" s="45"/>
      <c r="M108" s="45"/>
      <c r="N108" s="45"/>
      <c r="O108" s="45"/>
      <c r="P108" s="45"/>
      <c r="Q108" s="45"/>
      <c r="R108" s="45"/>
      <c r="S108" s="45"/>
      <c r="T108" s="36"/>
      <c r="U108" s="36"/>
      <c r="V108" s="36"/>
      <c r="W108" s="36"/>
      <c r="X108" s="36"/>
      <c r="Y108" s="36"/>
    </row>
    <row r="109" spans="1:31" ht="15" customHeight="1">
      <c r="A109" s="45"/>
      <c r="B109" s="45"/>
      <c r="C109" s="45"/>
      <c r="D109" s="45"/>
      <c r="E109" s="45"/>
      <c r="F109" s="45"/>
      <c r="G109" s="45"/>
      <c r="H109" s="45"/>
      <c r="I109" s="45"/>
      <c r="J109" s="45"/>
      <c r="K109" s="45"/>
      <c r="L109" s="45"/>
      <c r="M109" s="45"/>
      <c r="N109" s="45"/>
      <c r="O109" s="45"/>
      <c r="P109" s="45"/>
      <c r="Q109" s="45"/>
      <c r="R109" s="45"/>
      <c r="S109" s="45"/>
      <c r="T109" s="36"/>
      <c r="U109" s="36"/>
      <c r="V109" s="36"/>
      <c r="W109" s="36"/>
      <c r="X109" s="36"/>
      <c r="Y109" s="36"/>
    </row>
    <row r="110" spans="1:31" ht="15" customHeight="1">
      <c r="A110" s="45"/>
      <c r="B110" s="45"/>
      <c r="C110" s="45"/>
      <c r="D110" s="45"/>
      <c r="E110" s="45"/>
      <c r="F110" s="45"/>
      <c r="G110" s="45"/>
      <c r="H110" s="45"/>
      <c r="I110" s="45"/>
      <c r="J110" s="45"/>
      <c r="K110" s="45"/>
      <c r="L110" s="45"/>
      <c r="M110" s="45"/>
      <c r="N110" s="45"/>
      <c r="O110" s="45"/>
      <c r="P110" s="45"/>
      <c r="Q110" s="45"/>
      <c r="R110" s="45"/>
      <c r="S110" s="45"/>
      <c r="T110" s="36"/>
      <c r="U110" s="36"/>
      <c r="V110" s="36"/>
      <c r="W110" s="36"/>
      <c r="X110" s="36"/>
      <c r="Y110" s="36"/>
    </row>
    <row r="111" spans="1:31" ht="15" customHeight="1">
      <c r="A111" s="45"/>
      <c r="B111" s="45"/>
      <c r="C111" s="45"/>
      <c r="D111" s="45"/>
      <c r="E111" s="45"/>
      <c r="F111" s="45"/>
      <c r="G111" s="45"/>
      <c r="H111" s="45"/>
      <c r="I111" s="45"/>
      <c r="J111" s="45"/>
      <c r="K111" s="45"/>
      <c r="L111" s="45"/>
      <c r="M111" s="45"/>
      <c r="N111" s="45"/>
      <c r="O111" s="45"/>
      <c r="P111" s="45"/>
      <c r="Q111" s="45"/>
      <c r="R111" s="45"/>
      <c r="S111" s="45"/>
      <c r="T111" s="36"/>
      <c r="U111" s="36"/>
      <c r="V111" s="36"/>
      <c r="W111" s="36"/>
      <c r="X111" s="36"/>
      <c r="Y111" s="36"/>
    </row>
    <row r="112" spans="1:31" ht="15" customHeight="1">
      <c r="A112" s="45"/>
      <c r="B112" s="45"/>
      <c r="C112" s="45"/>
      <c r="D112" s="45"/>
      <c r="E112" s="45"/>
      <c r="F112" s="45"/>
      <c r="G112" s="45"/>
      <c r="H112" s="45"/>
      <c r="I112" s="45"/>
      <c r="J112" s="45"/>
      <c r="K112" s="45"/>
      <c r="L112" s="45"/>
      <c r="M112" s="45"/>
      <c r="N112" s="45"/>
      <c r="O112" s="45"/>
      <c r="P112" s="45"/>
      <c r="Q112" s="45"/>
      <c r="R112" s="45"/>
      <c r="S112" s="45"/>
      <c r="T112" s="36"/>
      <c r="U112" s="36"/>
      <c r="V112" s="36"/>
      <c r="W112" s="36"/>
      <c r="X112" s="36"/>
      <c r="Y112" s="36"/>
    </row>
    <row r="113" spans="1:25" ht="15" customHeight="1">
      <c r="A113" s="45"/>
      <c r="B113" s="45"/>
      <c r="C113" s="45"/>
      <c r="D113" s="45"/>
      <c r="E113" s="45"/>
      <c r="F113" s="45"/>
      <c r="G113" s="45"/>
      <c r="H113" s="45"/>
      <c r="I113" s="45"/>
      <c r="J113" s="45"/>
      <c r="K113" s="45"/>
      <c r="L113" s="45"/>
      <c r="M113" s="45"/>
      <c r="N113" s="45"/>
      <c r="O113" s="45"/>
      <c r="P113" s="45"/>
      <c r="Q113" s="45"/>
      <c r="R113" s="45"/>
      <c r="S113" s="45"/>
      <c r="T113" s="36"/>
      <c r="U113" s="36"/>
      <c r="V113" s="36"/>
      <c r="W113" s="36"/>
      <c r="X113" s="36"/>
      <c r="Y113" s="36"/>
    </row>
    <row r="114" spans="1:25" ht="15" customHeight="1">
      <c r="A114" s="45"/>
      <c r="B114" s="45"/>
      <c r="C114" s="45"/>
      <c r="D114" s="45"/>
      <c r="E114" s="45"/>
      <c r="F114" s="45"/>
      <c r="G114" s="45"/>
      <c r="H114" s="45"/>
      <c r="I114" s="45"/>
      <c r="J114" s="45"/>
      <c r="K114" s="45"/>
      <c r="L114" s="45"/>
      <c r="M114" s="45"/>
      <c r="N114" s="45"/>
      <c r="O114" s="45"/>
      <c r="P114" s="45"/>
      <c r="Q114" s="45"/>
      <c r="R114" s="45"/>
      <c r="S114" s="45"/>
      <c r="T114" s="36"/>
      <c r="U114" s="36"/>
      <c r="V114" s="36"/>
      <c r="W114" s="36"/>
      <c r="X114" s="36"/>
      <c r="Y114" s="36"/>
    </row>
    <row r="115" spans="1:25" ht="15" customHeight="1">
      <c r="A115" s="45"/>
      <c r="B115" s="45"/>
      <c r="C115" s="45"/>
      <c r="D115" s="45"/>
      <c r="E115" s="45"/>
      <c r="F115" s="45"/>
      <c r="G115" s="45"/>
      <c r="H115" s="45"/>
      <c r="I115" s="45"/>
      <c r="J115" s="45"/>
      <c r="K115" s="45"/>
      <c r="L115" s="45"/>
      <c r="M115" s="45"/>
      <c r="N115" s="45"/>
      <c r="O115" s="45"/>
      <c r="P115" s="45"/>
      <c r="Q115" s="45"/>
      <c r="R115" s="45"/>
      <c r="S115" s="45"/>
      <c r="T115" s="36"/>
      <c r="U115" s="36"/>
      <c r="V115" s="36"/>
      <c r="W115" s="36"/>
      <c r="X115" s="36"/>
      <c r="Y115" s="36"/>
    </row>
    <row r="116" spans="1:25" ht="15" customHeight="1">
      <c r="A116" s="45"/>
      <c r="B116" s="45"/>
      <c r="C116" s="45"/>
      <c r="D116" s="45"/>
      <c r="E116" s="45"/>
      <c r="F116" s="45"/>
      <c r="G116" s="45"/>
      <c r="H116" s="45"/>
      <c r="I116" s="45"/>
      <c r="J116" s="45"/>
      <c r="K116" s="45"/>
      <c r="L116" s="45"/>
      <c r="M116" s="45"/>
      <c r="N116" s="45"/>
      <c r="O116" s="45"/>
      <c r="P116" s="45"/>
      <c r="Q116" s="45"/>
      <c r="R116" s="45"/>
      <c r="S116" s="45"/>
      <c r="T116" s="36"/>
      <c r="U116" s="36"/>
      <c r="V116" s="36"/>
      <c r="W116" s="36"/>
      <c r="X116" s="36"/>
      <c r="Y116" s="36"/>
    </row>
    <row r="117" spans="1:25" ht="15" customHeight="1">
      <c r="A117" s="45"/>
      <c r="B117" s="45"/>
      <c r="C117" s="45"/>
      <c r="D117" s="45"/>
      <c r="E117" s="45"/>
      <c r="F117" s="45"/>
      <c r="G117" s="45"/>
      <c r="H117" s="45"/>
      <c r="I117" s="45"/>
      <c r="J117" s="45"/>
      <c r="K117" s="45"/>
      <c r="L117" s="45"/>
      <c r="M117" s="45"/>
      <c r="N117" s="45"/>
      <c r="O117" s="45"/>
      <c r="P117" s="45"/>
      <c r="Q117" s="45"/>
      <c r="R117" s="45"/>
      <c r="S117" s="45"/>
      <c r="T117" s="36"/>
      <c r="U117" s="36"/>
      <c r="V117" s="36"/>
      <c r="W117" s="36"/>
      <c r="X117" s="36"/>
      <c r="Y117" s="36"/>
    </row>
    <row r="118" spans="1:25" ht="15" customHeight="1">
      <c r="A118" s="45"/>
      <c r="B118" s="45"/>
      <c r="C118" s="45"/>
      <c r="D118" s="45"/>
      <c r="E118" s="45"/>
      <c r="F118" s="45"/>
      <c r="G118" s="45"/>
      <c r="H118" s="45"/>
      <c r="I118" s="45"/>
      <c r="J118" s="45"/>
      <c r="K118" s="45"/>
      <c r="L118" s="45"/>
      <c r="M118" s="45"/>
      <c r="N118" s="45"/>
      <c r="O118" s="45"/>
      <c r="P118" s="45"/>
      <c r="Q118" s="45"/>
      <c r="R118" s="45"/>
      <c r="S118" s="45"/>
      <c r="T118" s="36"/>
      <c r="U118" s="36"/>
      <c r="V118" s="36"/>
      <c r="W118" s="36"/>
      <c r="X118" s="36"/>
      <c r="Y118" s="36" t="s">
        <v>289</v>
      </c>
    </row>
    <row r="119" spans="1:25">
      <c r="A119" s="36"/>
      <c r="B119" s="36"/>
      <c r="C119" s="36"/>
      <c r="D119" s="36"/>
      <c r="E119" s="36"/>
      <c r="F119" s="36"/>
      <c r="G119" s="36"/>
      <c r="H119" s="36"/>
      <c r="I119" s="36"/>
      <c r="J119" s="36"/>
      <c r="K119" s="36"/>
      <c r="L119" s="36"/>
      <c r="M119" s="36"/>
      <c r="N119" s="36"/>
      <c r="O119" s="36"/>
      <c r="P119" s="36"/>
      <c r="Q119" s="36"/>
      <c r="R119" s="36"/>
      <c r="S119" s="36"/>
      <c r="T119" s="36"/>
      <c r="U119" s="36"/>
      <c r="V119" s="36"/>
      <c r="W119" s="36"/>
      <c r="X119" s="36"/>
      <c r="Y119" s="36"/>
    </row>
    <row r="120" spans="1:25" ht="6.75" customHeight="1">
      <c r="A120" s="36"/>
      <c r="B120" s="44"/>
      <c r="C120" s="42"/>
      <c r="D120" s="42"/>
      <c r="E120" s="42"/>
      <c r="F120" s="42"/>
      <c r="G120" s="42"/>
      <c r="H120" s="42"/>
      <c r="I120" s="42"/>
      <c r="J120" s="42"/>
      <c r="K120" s="42"/>
      <c r="L120" s="42"/>
      <c r="M120" s="42"/>
      <c r="N120" s="42"/>
      <c r="O120" s="42"/>
      <c r="P120" s="43"/>
      <c r="Q120" s="37"/>
      <c r="R120" s="36"/>
      <c r="S120" s="36"/>
      <c r="T120" s="36"/>
      <c r="U120" s="36"/>
      <c r="V120" s="36"/>
      <c r="W120" s="36"/>
      <c r="X120" s="36"/>
      <c r="Y120" s="36"/>
    </row>
    <row r="121" spans="1:25" ht="16.5" customHeight="1">
      <c r="A121" s="36"/>
      <c r="B121" s="154" t="s">
        <v>271</v>
      </c>
      <c r="C121" s="155"/>
      <c r="D121" s="155"/>
      <c r="E121" s="155"/>
      <c r="F121" s="155"/>
      <c r="G121" s="46" t="s">
        <v>272</v>
      </c>
      <c r="H121" s="155" t="s">
        <v>273</v>
      </c>
      <c r="I121" s="155"/>
      <c r="J121" s="155"/>
      <c r="K121" s="155"/>
      <c r="L121" s="45"/>
      <c r="M121" s="45"/>
      <c r="N121" s="45"/>
      <c r="O121" s="45"/>
      <c r="P121" s="45"/>
      <c r="Q121" s="48" t="s">
        <v>293</v>
      </c>
      <c r="R121" s="36"/>
      <c r="S121" s="36"/>
      <c r="T121" s="36"/>
      <c r="U121" s="36"/>
      <c r="V121" s="36"/>
      <c r="W121" s="36"/>
      <c r="X121" s="36"/>
      <c r="Y121" s="36"/>
    </row>
    <row r="122" spans="1:25" ht="6.75" customHeight="1">
      <c r="A122" s="36"/>
      <c r="B122" s="158" t="s">
        <v>274</v>
      </c>
      <c r="C122" s="159"/>
      <c r="D122" s="159"/>
      <c r="E122" s="159"/>
      <c r="F122" s="159"/>
      <c r="G122" s="45"/>
      <c r="H122" s="160"/>
      <c r="I122" s="160"/>
      <c r="J122" s="160"/>
      <c r="K122" s="160"/>
      <c r="L122" s="45"/>
      <c r="M122" s="45"/>
      <c r="N122" s="45"/>
      <c r="O122" s="45"/>
      <c r="P122" s="45"/>
      <c r="Q122" s="47" t="s">
        <v>280</v>
      </c>
      <c r="R122" s="36"/>
      <c r="S122" s="36"/>
      <c r="T122" s="36"/>
      <c r="U122" s="36"/>
      <c r="V122" s="36"/>
      <c r="W122" s="36"/>
      <c r="X122" s="36"/>
      <c r="Y122" s="36"/>
    </row>
    <row r="123" spans="1:25">
      <c r="A123" s="36"/>
      <c r="B123" s="161" t="s">
        <v>275</v>
      </c>
      <c r="C123" s="162"/>
      <c r="D123" s="162"/>
      <c r="E123" s="162"/>
      <c r="F123" s="162"/>
      <c r="G123" s="162"/>
      <c r="H123" s="162"/>
      <c r="I123" s="162"/>
      <c r="J123" s="162"/>
      <c r="K123" s="162"/>
      <c r="L123" s="162"/>
      <c r="M123" s="162"/>
      <c r="N123" s="162"/>
      <c r="O123" s="162"/>
      <c r="P123" s="163"/>
      <c r="Q123" s="37"/>
      <c r="R123" s="36"/>
      <c r="S123" s="36"/>
      <c r="T123" s="36"/>
      <c r="U123" s="36"/>
      <c r="V123" s="36"/>
      <c r="W123" s="36"/>
      <c r="X123" s="36"/>
      <c r="Y123" s="36"/>
    </row>
    <row r="124" spans="1:25" ht="18.75" customHeight="1">
      <c r="A124" s="36"/>
      <c r="B124" s="164" t="s">
        <v>276</v>
      </c>
      <c r="C124" s="165"/>
      <c r="D124" s="165"/>
      <c r="E124" s="165"/>
      <c r="F124" s="165"/>
      <c r="G124" s="165"/>
      <c r="H124" s="165"/>
      <c r="I124" s="165"/>
      <c r="J124" s="165"/>
      <c r="K124" s="165"/>
      <c r="L124" s="165"/>
      <c r="M124" s="165"/>
      <c r="N124" s="165"/>
      <c r="O124" s="165"/>
      <c r="P124" s="36"/>
      <c r="Q124" s="41"/>
      <c r="R124" s="40"/>
      <c r="S124" s="45"/>
      <c r="T124" s="36"/>
      <c r="U124" s="36"/>
      <c r="V124" s="36"/>
      <c r="W124" s="36"/>
      <c r="X124" s="36"/>
      <c r="Y124" s="36"/>
    </row>
    <row r="125" spans="1:25" ht="13.5" customHeight="1">
      <c r="A125" s="36"/>
      <c r="B125" s="37"/>
      <c r="C125" s="36"/>
      <c r="D125" s="36"/>
      <c r="E125" s="36"/>
      <c r="F125" s="36"/>
      <c r="G125" s="36"/>
      <c r="H125" s="36"/>
      <c r="I125" s="36"/>
      <c r="J125" s="36"/>
      <c r="K125" s="36"/>
      <c r="L125" s="166" t="s">
        <v>277</v>
      </c>
      <c r="M125" s="166"/>
      <c r="N125" s="166"/>
      <c r="O125" s="166"/>
      <c r="P125" s="36"/>
      <c r="Q125" s="36"/>
      <c r="R125" s="36"/>
      <c r="S125" s="37"/>
      <c r="T125" s="36"/>
      <c r="U125" s="36"/>
      <c r="V125" s="36"/>
      <c r="W125" s="36"/>
      <c r="X125" s="36"/>
      <c r="Y125" s="36"/>
    </row>
    <row r="126" spans="1:25" ht="18">
      <c r="A126" s="36"/>
      <c r="B126" s="146" t="s">
        <v>278</v>
      </c>
      <c r="C126" s="150"/>
      <c r="D126" s="156" t="str">
        <f>B39</f>
        <v>ИП Рукша Анна Викторовна</v>
      </c>
      <c r="E126" s="156"/>
      <c r="F126" s="156"/>
      <c r="G126" s="156"/>
      <c r="H126" s="156"/>
      <c r="I126" s="156"/>
      <c r="J126" s="156"/>
      <c r="K126" s="156"/>
      <c r="L126" s="156"/>
      <c r="M126" s="156"/>
      <c r="N126" s="156"/>
      <c r="O126" s="156"/>
      <c r="P126" s="156"/>
      <c r="Q126" s="156"/>
      <c r="R126" s="156"/>
      <c r="S126" s="37"/>
      <c r="T126" s="36"/>
      <c r="U126" s="36"/>
      <c r="V126" s="36"/>
      <c r="W126" s="36"/>
      <c r="X126" s="36"/>
      <c r="Y126" s="36"/>
    </row>
    <row r="127" spans="1:25" ht="10.5" customHeight="1">
      <c r="A127" s="36"/>
      <c r="B127" s="37"/>
      <c r="C127" s="36"/>
      <c r="D127" s="133"/>
      <c r="E127" s="133"/>
      <c r="F127" s="133"/>
      <c r="G127" s="133"/>
      <c r="H127" s="133"/>
      <c r="I127" s="133"/>
      <c r="J127" s="133"/>
      <c r="K127" s="133"/>
      <c r="L127" s="133"/>
      <c r="M127" s="133"/>
      <c r="N127" s="133"/>
      <c r="O127" s="133"/>
      <c r="P127" s="133"/>
      <c r="Q127" s="133"/>
      <c r="R127" s="133"/>
      <c r="S127" s="37"/>
      <c r="T127" s="36"/>
      <c r="U127" s="36"/>
      <c r="V127" s="36"/>
      <c r="W127" s="36"/>
      <c r="X127" s="36"/>
      <c r="Y127" s="36"/>
    </row>
    <row r="128" spans="1:25" ht="16.5">
      <c r="A128" s="36"/>
      <c r="B128" s="146" t="s">
        <v>279</v>
      </c>
      <c r="C128" s="150"/>
      <c r="D128" s="157" t="str">
        <f>B41</f>
        <v>ул. Гоголя, д. 188В, 
213810, Могилевская обл., 
г. Бобруйск, Беларусь</v>
      </c>
      <c r="E128" s="157"/>
      <c r="F128" s="157"/>
      <c r="G128" s="157"/>
      <c r="H128" s="157"/>
      <c r="I128" s="157"/>
      <c r="J128" s="157"/>
      <c r="K128" s="157"/>
      <c r="L128" s="157"/>
      <c r="M128" s="157"/>
      <c r="N128" s="157"/>
      <c r="O128" s="157"/>
      <c r="P128" s="157"/>
      <c r="Q128" s="157"/>
      <c r="R128" s="157"/>
      <c r="S128" s="37"/>
      <c r="T128" s="36"/>
      <c r="U128" s="36"/>
      <c r="V128" s="36"/>
      <c r="W128" s="36"/>
      <c r="X128" s="36"/>
      <c r="Y128" s="36"/>
    </row>
    <row r="129" spans="1:25" ht="10.5" customHeight="1">
      <c r="A129" s="36"/>
      <c r="B129" s="37"/>
      <c r="C129" s="45"/>
      <c r="D129" s="152" t="str">
        <f>B47</f>
        <v>(тел.: +375-29-6665003)</v>
      </c>
      <c r="E129" s="152"/>
      <c r="F129" s="152"/>
      <c r="G129" s="152"/>
      <c r="H129" s="152"/>
      <c r="I129" s="152"/>
      <c r="J129" s="152"/>
      <c r="K129" s="152"/>
      <c r="L129" s="152"/>
      <c r="M129" s="152"/>
      <c r="N129" s="152"/>
      <c r="O129" s="152"/>
      <c r="P129" s="152"/>
      <c r="Q129" s="152"/>
      <c r="R129" s="152"/>
      <c r="S129" s="37"/>
      <c r="T129" s="36"/>
      <c r="U129" s="36"/>
      <c r="V129" s="36"/>
      <c r="W129" s="36"/>
      <c r="X129" s="36"/>
      <c r="Y129" s="36"/>
    </row>
    <row r="130" spans="1:25" ht="7.5" customHeight="1">
      <c r="A130" s="36"/>
      <c r="B130" s="41"/>
      <c r="C130" s="40"/>
      <c r="D130" s="40"/>
      <c r="E130" s="40"/>
      <c r="F130" s="40"/>
      <c r="G130" s="40"/>
      <c r="H130" s="40"/>
      <c r="I130" s="40"/>
      <c r="J130" s="40"/>
      <c r="K130" s="40"/>
      <c r="L130" s="40"/>
      <c r="M130" s="40"/>
      <c r="N130" s="40"/>
      <c r="O130" s="40"/>
      <c r="P130" s="40"/>
      <c r="Q130" s="40"/>
      <c r="R130" s="40"/>
      <c r="S130" s="37"/>
      <c r="T130" s="36"/>
      <c r="U130" s="36"/>
      <c r="V130" s="36"/>
      <c r="W130" s="36"/>
      <c r="X130" s="36"/>
      <c r="Y130" s="36"/>
    </row>
    <row r="131" spans="1:25" ht="15" customHeight="1">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row>
    <row r="132" spans="1:25">
      <c r="A132" s="36"/>
      <c r="B132" s="36" t="s">
        <v>666</v>
      </c>
      <c r="C132" s="36"/>
      <c r="D132" s="36"/>
      <c r="E132" s="36"/>
      <c r="F132" s="36"/>
      <c r="G132" s="36"/>
      <c r="H132" s="36"/>
      <c r="I132" s="36"/>
      <c r="J132" s="36"/>
      <c r="K132" s="36"/>
      <c r="L132" s="36"/>
      <c r="M132" s="36"/>
      <c r="N132" s="36"/>
      <c r="O132" s="36"/>
      <c r="P132" s="36"/>
      <c r="Q132" s="36"/>
      <c r="R132" s="36"/>
      <c r="S132" s="36"/>
      <c r="T132" s="36"/>
      <c r="U132" s="36"/>
      <c r="V132" s="36"/>
      <c r="W132" s="36"/>
      <c r="X132" s="36"/>
      <c r="Y132" s="36"/>
    </row>
    <row r="133" spans="1:25" ht="6.75" customHeight="1">
      <c r="A133" s="36"/>
      <c r="B133" s="36"/>
      <c r="C133" s="36"/>
      <c r="D133" s="36"/>
      <c r="E133" s="36"/>
      <c r="F133" s="36"/>
      <c r="G133" s="36"/>
      <c r="H133" s="36"/>
      <c r="I133" s="36"/>
      <c r="J133" s="167" t="s">
        <v>281</v>
      </c>
      <c r="K133" s="167"/>
      <c r="L133" s="167"/>
      <c r="M133" s="167"/>
      <c r="N133" s="167"/>
      <c r="O133" s="167"/>
      <c r="P133" s="36"/>
      <c r="Q133" s="36"/>
      <c r="R133" s="36"/>
      <c r="S133" s="36"/>
      <c r="T133" s="36"/>
      <c r="U133" s="36"/>
      <c r="V133" s="36"/>
      <c r="W133" s="36"/>
      <c r="X133" s="36"/>
      <c r="Y133" s="36"/>
    </row>
    <row r="134" spans="1: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row>
    <row r="135" spans="1:25">
      <c r="A135" s="36"/>
      <c r="B135" s="36"/>
      <c r="C135" s="36"/>
      <c r="D135" s="36"/>
      <c r="E135" s="36"/>
      <c r="F135" s="168" t="s">
        <v>287</v>
      </c>
      <c r="G135" s="168"/>
      <c r="H135" s="168"/>
      <c r="I135" s="168"/>
      <c r="J135" s="168"/>
      <c r="K135" s="168"/>
      <c r="L135" s="168"/>
      <c r="M135" s="168"/>
      <c r="N135" s="168"/>
      <c r="O135" s="36"/>
      <c r="P135" s="36"/>
      <c r="Q135" s="36"/>
      <c r="R135" s="36"/>
      <c r="S135" s="36"/>
      <c r="T135" s="36"/>
      <c r="U135" s="36"/>
      <c r="V135" s="36"/>
      <c r="W135" s="36"/>
      <c r="X135" s="36"/>
      <c r="Y135" s="36"/>
    </row>
    <row r="136" spans="1:25" ht="9.75" customHeight="1">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row>
    <row r="137" spans="1:25" ht="9.75" customHeight="1">
      <c r="A137" s="36"/>
      <c r="B137" s="167" t="s">
        <v>284</v>
      </c>
      <c r="C137" s="167"/>
      <c r="D137" s="167"/>
      <c r="E137" s="36"/>
      <c r="F137" s="36"/>
      <c r="G137" s="36"/>
      <c r="H137" s="36"/>
      <c r="I137" s="36"/>
      <c r="J137" s="36"/>
      <c r="K137" s="36"/>
      <c r="L137" s="36"/>
      <c r="M137" s="36"/>
      <c r="N137" s="36"/>
      <c r="O137" s="36"/>
      <c r="P137" s="167" t="s">
        <v>282</v>
      </c>
      <c r="Q137" s="167"/>
      <c r="R137" s="167"/>
      <c r="S137" s="36"/>
      <c r="T137" s="36"/>
      <c r="U137" s="36"/>
      <c r="V137" s="36"/>
      <c r="W137" s="36"/>
      <c r="X137" s="36"/>
      <c r="Y137" s="36"/>
    </row>
    <row r="138" spans="1:25" ht="9.75" customHeight="1">
      <c r="A138" s="36"/>
      <c r="B138" s="167" t="s">
        <v>282</v>
      </c>
      <c r="C138" s="167"/>
      <c r="D138" s="167"/>
      <c r="E138" s="36"/>
      <c r="F138" s="36"/>
      <c r="G138" s="40"/>
      <c r="H138" s="40"/>
      <c r="I138" s="40"/>
      <c r="J138" s="40"/>
      <c r="K138" s="40"/>
      <c r="L138" s="40"/>
      <c r="M138" s="40"/>
      <c r="N138" s="36"/>
      <c r="O138" s="36"/>
      <c r="P138" s="167" t="s">
        <v>207</v>
      </c>
      <c r="Q138" s="167"/>
      <c r="R138" s="167"/>
      <c r="S138" s="36"/>
      <c r="T138" s="36"/>
      <c r="U138" s="36"/>
      <c r="V138" s="36"/>
      <c r="W138" s="36"/>
      <c r="X138" s="36"/>
      <c r="Y138" s="36"/>
    </row>
    <row r="139" spans="1:25" ht="9.75" customHeight="1">
      <c r="A139" s="36"/>
      <c r="B139" s="167" t="s">
        <v>285</v>
      </c>
      <c r="C139" s="167"/>
      <c r="D139" s="167"/>
      <c r="E139" s="36"/>
      <c r="F139" s="36"/>
      <c r="G139" s="36"/>
      <c r="H139" s="159" t="s">
        <v>288</v>
      </c>
      <c r="I139" s="159"/>
      <c r="J139" s="159"/>
      <c r="K139" s="159"/>
      <c r="L139" s="36"/>
      <c r="M139" s="36"/>
      <c r="N139" s="36"/>
      <c r="O139" s="36"/>
      <c r="P139" s="167" t="s">
        <v>283</v>
      </c>
      <c r="Q139" s="167"/>
      <c r="R139" s="167"/>
      <c r="S139" s="36"/>
      <c r="T139" s="36"/>
      <c r="U139" s="36"/>
      <c r="V139" s="36"/>
      <c r="W139" s="36"/>
      <c r="X139" s="36"/>
      <c r="Y139" s="36"/>
    </row>
    <row r="140" spans="1:25" ht="9.75" customHeight="1">
      <c r="A140" s="36"/>
      <c r="B140" s="167" t="s">
        <v>286</v>
      </c>
      <c r="C140" s="167"/>
      <c r="D140" s="167"/>
      <c r="E140" s="36"/>
      <c r="F140" s="36"/>
      <c r="G140" s="36"/>
      <c r="H140" s="36"/>
      <c r="I140" s="36"/>
      <c r="J140" s="36"/>
      <c r="K140" s="36"/>
      <c r="L140" s="36"/>
      <c r="M140" s="36"/>
      <c r="N140" s="36"/>
      <c r="O140" s="36"/>
      <c r="P140" s="133"/>
      <c r="Q140" s="133"/>
      <c r="R140" s="133"/>
      <c r="S140" s="36"/>
      <c r="T140" s="36"/>
      <c r="U140" s="36"/>
      <c r="V140" s="36"/>
      <c r="W140" s="36"/>
      <c r="X140" s="36"/>
      <c r="Y140" s="36"/>
    </row>
    <row r="141" spans="1: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row>
    <row r="142" spans="1:25">
      <c r="A142" s="36"/>
      <c r="B142" s="36"/>
      <c r="C142" s="36"/>
      <c r="D142" s="36"/>
      <c r="E142" s="36"/>
      <c r="F142" s="36"/>
      <c r="G142" s="36"/>
      <c r="H142" s="36"/>
      <c r="I142" s="36"/>
      <c r="J142" s="36"/>
      <c r="K142" s="36"/>
      <c r="L142" s="36"/>
      <c r="M142" s="36"/>
      <c r="N142" s="36"/>
      <c r="O142" s="36"/>
      <c r="P142" s="36"/>
      <c r="Q142" s="36"/>
      <c r="R142" s="36"/>
      <c r="S142" s="36"/>
      <c r="T142" s="36"/>
      <c r="U142" s="36"/>
      <c r="V142" s="36"/>
      <c r="W142" s="36"/>
      <c r="X142" s="36"/>
      <c r="Y142" s="36"/>
    </row>
    <row r="143" spans="1:25">
      <c r="A143" s="36"/>
      <c r="B143" s="36"/>
      <c r="C143" s="36"/>
      <c r="D143" s="36"/>
      <c r="E143" s="36"/>
      <c r="F143" s="36"/>
      <c r="G143" s="36"/>
      <c r="H143" s="36"/>
      <c r="I143" s="36"/>
      <c r="J143" s="36"/>
      <c r="K143" s="36"/>
      <c r="L143" s="36"/>
      <c r="M143" s="36"/>
      <c r="N143" s="36"/>
      <c r="O143" s="36"/>
      <c r="P143" s="36"/>
      <c r="Q143" s="36"/>
      <c r="R143" s="36"/>
      <c r="S143" s="36"/>
      <c r="T143" s="36"/>
      <c r="U143" s="36"/>
      <c r="V143" s="36"/>
      <c r="W143" s="36"/>
      <c r="X143" s="36"/>
      <c r="Y143" s="36"/>
    </row>
    <row r="144" spans="1:25">
      <c r="A144" s="36"/>
      <c r="B144" s="36"/>
      <c r="C144" s="36"/>
      <c r="D144" s="36"/>
      <c r="E144" s="36"/>
      <c r="F144" s="36"/>
      <c r="G144" s="36"/>
      <c r="H144" s="36"/>
      <c r="I144" s="36"/>
      <c r="J144" s="36"/>
      <c r="K144" s="36"/>
      <c r="L144" s="36"/>
      <c r="M144" s="36"/>
      <c r="N144" s="36"/>
      <c r="O144" s="36"/>
      <c r="P144" s="36"/>
      <c r="Q144" s="36"/>
      <c r="R144" s="36"/>
      <c r="S144" s="36"/>
      <c r="T144" s="36"/>
      <c r="U144" s="36"/>
      <c r="V144" s="36"/>
      <c r="W144" s="36"/>
      <c r="X144" s="36"/>
      <c r="Y144" s="36"/>
    </row>
    <row r="145" spans="1:25">
      <c r="A145" s="36"/>
      <c r="B145" s="36"/>
      <c r="C145" s="36"/>
      <c r="D145" s="36"/>
      <c r="E145" s="36"/>
      <c r="F145" s="36"/>
      <c r="G145" s="36"/>
      <c r="H145" s="36"/>
      <c r="I145" s="36"/>
      <c r="J145" s="36"/>
      <c r="K145" s="36"/>
      <c r="L145" s="36"/>
      <c r="M145" s="36"/>
      <c r="N145" s="36"/>
      <c r="O145" s="36"/>
      <c r="P145" s="36"/>
      <c r="Q145" s="36"/>
      <c r="R145" s="36"/>
      <c r="S145" s="36"/>
      <c r="T145" s="36"/>
      <c r="U145" s="36"/>
      <c r="V145" s="36"/>
      <c r="W145" s="36"/>
      <c r="X145" s="36"/>
      <c r="Y145" s="36"/>
    </row>
    <row r="146" spans="1:25">
      <c r="A146" s="36"/>
      <c r="B146" s="36"/>
      <c r="C146" s="36"/>
      <c r="D146" s="36"/>
      <c r="E146" s="36"/>
      <c r="F146" s="36"/>
      <c r="G146" s="36"/>
      <c r="H146" s="36"/>
      <c r="I146" s="36"/>
      <c r="J146" s="36"/>
      <c r="K146" s="36"/>
      <c r="L146" s="36"/>
      <c r="M146" s="36"/>
      <c r="N146" s="36"/>
      <c r="O146" s="36"/>
      <c r="P146" s="36"/>
      <c r="Q146" s="36"/>
      <c r="R146" s="36"/>
      <c r="S146" s="36"/>
      <c r="T146" s="36"/>
      <c r="U146" s="36"/>
      <c r="V146" s="36"/>
      <c r="W146" s="36"/>
      <c r="X146" s="36"/>
      <c r="Y146" s="36"/>
    </row>
    <row r="147" spans="1: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row>
    <row r="148" spans="1:25">
      <c r="A148" s="36"/>
      <c r="B148" s="36"/>
      <c r="C148" s="36"/>
      <c r="D148" s="36"/>
      <c r="E148" s="36"/>
      <c r="F148" s="36"/>
      <c r="G148" s="36"/>
      <c r="H148" s="36"/>
      <c r="I148" s="36"/>
      <c r="J148" s="36"/>
      <c r="K148" s="36"/>
      <c r="L148" s="36"/>
      <c r="M148" s="36"/>
      <c r="N148" s="36"/>
      <c r="O148" s="36"/>
      <c r="P148" s="36"/>
      <c r="Q148" s="36"/>
      <c r="R148" s="36"/>
      <c r="S148" s="36"/>
      <c r="T148" s="36"/>
      <c r="U148" s="36"/>
      <c r="V148" s="36"/>
      <c r="W148" s="36"/>
      <c r="X148" s="36"/>
      <c r="Y148" s="36"/>
    </row>
    <row r="149" spans="1:25">
      <c r="A149" s="36"/>
      <c r="B149" s="36"/>
      <c r="C149" s="36"/>
      <c r="D149" s="36"/>
      <c r="E149" s="36"/>
      <c r="F149" s="36"/>
      <c r="G149" s="36"/>
      <c r="H149" s="36"/>
      <c r="I149" s="36"/>
      <c r="J149" s="36"/>
      <c r="K149" s="36"/>
      <c r="L149" s="36"/>
      <c r="M149" s="36"/>
      <c r="N149" s="36"/>
      <c r="O149" s="36"/>
      <c r="P149" s="36"/>
      <c r="Q149" s="36"/>
      <c r="R149" s="36"/>
      <c r="S149" s="36"/>
      <c r="T149" s="36"/>
      <c r="U149" s="36"/>
      <c r="V149" s="36"/>
      <c r="W149" s="36"/>
      <c r="X149" s="36"/>
      <c r="Y149" s="36"/>
    </row>
    <row r="150" spans="1: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row>
    <row r="151" spans="1: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row>
    <row r="152" spans="1:25">
      <c r="A152" s="36"/>
      <c r="B152" s="36"/>
      <c r="C152" s="36"/>
      <c r="D152" s="36"/>
      <c r="E152" s="36"/>
      <c r="F152" s="36"/>
      <c r="G152" s="36"/>
      <c r="H152" s="36"/>
      <c r="I152" s="36"/>
      <c r="J152" s="36"/>
      <c r="K152" s="36"/>
      <c r="L152" s="36"/>
      <c r="M152" s="36"/>
      <c r="N152" s="36"/>
      <c r="O152" s="36"/>
      <c r="P152" s="36"/>
      <c r="Q152" s="36"/>
      <c r="R152" s="36"/>
      <c r="S152" s="36"/>
      <c r="T152" s="36"/>
      <c r="U152" s="36"/>
      <c r="V152" s="36"/>
      <c r="W152" s="36"/>
      <c r="X152" s="36"/>
      <c r="Y152" s="36"/>
    </row>
    <row r="153" spans="1: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row>
    <row r="154" spans="1:25">
      <c r="A154" s="36"/>
      <c r="B154" s="36"/>
      <c r="C154" s="36"/>
      <c r="D154" s="36"/>
      <c r="E154" s="36"/>
      <c r="F154" s="36"/>
      <c r="G154" s="36"/>
      <c r="H154" s="36"/>
      <c r="I154" s="36"/>
      <c r="J154" s="36"/>
      <c r="K154" s="36"/>
      <c r="L154" s="36"/>
      <c r="M154" s="36"/>
      <c r="N154" s="36"/>
      <c r="O154" s="36"/>
      <c r="P154" s="36"/>
      <c r="Q154" s="36"/>
      <c r="R154" s="36"/>
      <c r="S154" s="36"/>
      <c r="T154" s="36"/>
      <c r="U154" s="36"/>
      <c r="V154" s="36"/>
      <c r="W154" s="36"/>
      <c r="X154" s="36"/>
      <c r="Y154" s="36"/>
    </row>
    <row r="155" spans="1:25">
      <c r="A155" s="36"/>
      <c r="B155" s="36"/>
      <c r="C155" s="36"/>
      <c r="D155" s="36"/>
      <c r="E155" s="36"/>
      <c r="F155" s="36"/>
      <c r="G155" s="36"/>
      <c r="H155" s="36"/>
      <c r="I155" s="36"/>
      <c r="J155" s="36"/>
      <c r="K155" s="36"/>
      <c r="L155" s="36"/>
      <c r="M155" s="36"/>
      <c r="N155" s="36"/>
      <c r="O155" s="36"/>
      <c r="P155" s="36"/>
      <c r="Q155" s="36"/>
      <c r="R155" s="36"/>
      <c r="S155" s="36"/>
      <c r="T155" s="36"/>
      <c r="U155" s="36"/>
      <c r="V155" s="36"/>
      <c r="W155" s="36"/>
      <c r="X155" s="36"/>
      <c r="Y155" s="36"/>
    </row>
    <row r="156" spans="1: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row>
    <row r="157" spans="1: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row>
    <row r="158" spans="1:25">
      <c r="A158" s="36"/>
      <c r="B158" s="36"/>
      <c r="C158" s="36"/>
      <c r="D158" s="36"/>
      <c r="E158" s="36"/>
      <c r="F158" s="36"/>
      <c r="G158" s="36"/>
      <c r="H158" s="36"/>
      <c r="I158" s="36"/>
      <c r="J158" s="36"/>
      <c r="K158" s="36"/>
      <c r="L158" s="36"/>
      <c r="M158" s="36"/>
      <c r="N158" s="36"/>
      <c r="O158" s="36"/>
      <c r="P158" s="36"/>
      <c r="Q158" s="36"/>
      <c r="R158" s="36"/>
      <c r="S158" s="36"/>
      <c r="T158" s="36"/>
      <c r="U158" s="36"/>
      <c r="V158" s="36"/>
      <c r="W158" s="36"/>
      <c r="X158" s="36"/>
      <c r="Y158" s="36"/>
    </row>
    <row r="159" spans="1: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row>
    <row r="160" spans="1:25">
      <c r="A160" s="36"/>
      <c r="B160" s="36"/>
      <c r="C160" s="36"/>
      <c r="D160" s="36"/>
      <c r="E160" s="36"/>
      <c r="F160" s="36"/>
      <c r="G160" s="36"/>
      <c r="H160" s="36"/>
      <c r="I160" s="36"/>
      <c r="J160" s="36"/>
      <c r="K160" s="36"/>
      <c r="L160" s="36"/>
      <c r="M160" s="36"/>
      <c r="N160" s="36"/>
      <c r="O160" s="36"/>
      <c r="P160" s="36"/>
      <c r="Q160" s="36"/>
      <c r="R160" s="36"/>
      <c r="S160" s="36"/>
      <c r="T160" s="36"/>
      <c r="U160" s="36"/>
      <c r="V160" s="36"/>
      <c r="W160" s="36"/>
      <c r="X160" s="36"/>
      <c r="Y160" s="36" t="s">
        <v>290</v>
      </c>
    </row>
    <row r="161" spans="1:25">
      <c r="A161" s="36"/>
      <c r="B161" s="36"/>
      <c r="C161" s="36"/>
      <c r="D161" s="36"/>
      <c r="E161" s="36"/>
      <c r="F161" s="36"/>
      <c r="G161" s="36"/>
      <c r="H161" s="36"/>
      <c r="I161" s="36"/>
      <c r="J161" s="36"/>
      <c r="K161" s="36"/>
      <c r="L161" s="36"/>
      <c r="M161" s="36"/>
      <c r="N161" s="36"/>
      <c r="O161" s="36"/>
      <c r="P161" s="36"/>
      <c r="Q161" s="36"/>
      <c r="R161" s="36"/>
      <c r="S161" s="36"/>
      <c r="T161" s="36"/>
      <c r="U161" s="36"/>
      <c r="V161" s="36"/>
      <c r="W161" s="36"/>
      <c r="X161" s="36"/>
      <c r="Y161" s="36"/>
    </row>
    <row r="162" spans="1:25">
      <c r="A162" s="36"/>
      <c r="B162" s="36"/>
      <c r="C162" s="36"/>
      <c r="D162" s="36"/>
      <c r="E162" s="36"/>
      <c r="F162" s="36"/>
      <c r="G162" s="36"/>
      <c r="H162" s="36"/>
      <c r="I162" s="36"/>
      <c r="J162" s="36"/>
      <c r="K162" s="36"/>
      <c r="L162" s="36"/>
      <c r="M162" s="36"/>
      <c r="N162" s="36"/>
      <c r="O162" s="36"/>
      <c r="P162" s="36"/>
      <c r="Q162" s="36"/>
      <c r="R162" s="36"/>
      <c r="S162" s="36"/>
      <c r="T162" s="36"/>
      <c r="U162" s="36"/>
      <c r="V162" s="36"/>
      <c r="W162" s="36"/>
      <c r="X162" s="36"/>
      <c r="Y162" s="36"/>
    </row>
    <row r="163" spans="1:25">
      <c r="A163" s="36"/>
      <c r="B163" s="36"/>
      <c r="C163" s="36"/>
      <c r="D163" s="36"/>
      <c r="E163" s="36"/>
      <c r="F163" s="36"/>
      <c r="G163" s="36"/>
      <c r="H163" s="36"/>
      <c r="I163" s="36"/>
      <c r="J163" s="36"/>
      <c r="K163" s="36"/>
      <c r="L163" s="36"/>
      <c r="M163" s="36"/>
      <c r="N163" s="36"/>
      <c r="O163" s="36"/>
      <c r="P163" s="36"/>
      <c r="Q163" s="36"/>
      <c r="R163" s="36"/>
      <c r="S163" s="36"/>
      <c r="T163" s="36"/>
      <c r="U163" s="36"/>
      <c r="V163" s="36"/>
      <c r="W163" s="36"/>
      <c r="X163" s="36"/>
      <c r="Y163" s="36"/>
    </row>
    <row r="164" spans="1:25">
      <c r="A164" s="36"/>
      <c r="B164" s="36"/>
      <c r="C164" s="36"/>
      <c r="D164" s="36"/>
      <c r="E164" s="36"/>
      <c r="F164" s="36"/>
      <c r="G164" s="36"/>
      <c r="H164" s="36"/>
      <c r="I164" s="36"/>
      <c r="J164" s="36"/>
      <c r="K164" s="36"/>
      <c r="L164" s="36"/>
      <c r="M164" s="36"/>
      <c r="N164" s="36"/>
      <c r="O164" s="36"/>
      <c r="P164" s="36"/>
      <c r="Q164" s="36"/>
      <c r="R164" s="36"/>
      <c r="S164" s="36"/>
      <c r="T164" s="36"/>
      <c r="U164" s="36"/>
      <c r="V164" s="36"/>
      <c r="W164" s="36"/>
      <c r="X164" s="36"/>
      <c r="Y164" s="36"/>
    </row>
    <row r="165" spans="1: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row>
    <row r="166" spans="1:25">
      <c r="A166" s="36"/>
      <c r="B166" s="36"/>
      <c r="C166" s="36"/>
      <c r="D166" s="36"/>
      <c r="E166" s="36"/>
      <c r="F166" s="36"/>
      <c r="G166" s="36"/>
      <c r="H166" s="36"/>
      <c r="I166" s="36"/>
      <c r="J166" s="36"/>
      <c r="K166" s="36"/>
      <c r="L166" s="36"/>
      <c r="M166" s="36"/>
      <c r="N166" s="36"/>
      <c r="O166" s="36"/>
      <c r="P166" s="36"/>
      <c r="Q166" s="36"/>
      <c r="R166" s="36"/>
      <c r="S166" s="36"/>
      <c r="T166" s="36"/>
      <c r="U166" s="36"/>
      <c r="V166" s="36"/>
      <c r="W166" s="36"/>
      <c r="X166" s="36"/>
      <c r="Y166" s="36"/>
    </row>
    <row r="167" spans="1:25" ht="15.75">
      <c r="A167" s="35"/>
      <c r="B167" s="35"/>
      <c r="C167" s="35"/>
      <c r="D167" s="35"/>
      <c r="E167" s="35"/>
      <c r="F167" s="35"/>
      <c r="G167" s="35"/>
      <c r="H167" s="35"/>
      <c r="I167" s="35"/>
      <c r="J167" s="35"/>
      <c r="K167" s="35"/>
      <c r="L167" s="35"/>
      <c r="M167" s="35"/>
      <c r="N167" s="35"/>
      <c r="O167" s="36"/>
      <c r="P167" s="36"/>
      <c r="Q167" s="36"/>
      <c r="R167" s="35"/>
      <c r="S167" s="35"/>
      <c r="T167" s="35"/>
      <c r="U167" s="35"/>
      <c r="V167" s="35"/>
      <c r="W167" s="35"/>
      <c r="X167" s="35"/>
      <c r="Y167" s="35"/>
    </row>
    <row r="168" spans="1:25" ht="15.75">
      <c r="A168" s="35"/>
      <c r="B168" s="35"/>
      <c r="C168" s="35"/>
      <c r="D168" s="35"/>
      <c r="E168" s="35"/>
      <c r="F168" s="35"/>
      <c r="G168" s="35"/>
      <c r="H168" s="35"/>
      <c r="I168" s="35"/>
      <c r="J168" s="35"/>
      <c r="K168" s="35"/>
      <c r="L168" s="35"/>
      <c r="M168" s="35"/>
      <c r="N168" s="35"/>
      <c r="O168" s="35"/>
      <c r="P168" s="35"/>
      <c r="Q168" s="35"/>
      <c r="R168" s="35"/>
      <c r="S168" s="35"/>
      <c r="T168" s="35"/>
      <c r="U168" s="35"/>
      <c r="V168" s="35"/>
      <c r="W168" s="35"/>
      <c r="X168" s="35"/>
      <c r="Y168" s="35"/>
    </row>
    <row r="169" spans="1:25" ht="15.75">
      <c r="A169" s="35"/>
      <c r="B169" s="35"/>
      <c r="C169" s="35"/>
      <c r="D169" s="35"/>
      <c r="E169" s="35"/>
      <c r="F169" s="35"/>
      <c r="G169" s="35"/>
      <c r="H169" s="35"/>
      <c r="I169" s="35"/>
      <c r="J169" s="35"/>
      <c r="K169" s="35"/>
      <c r="L169" s="35"/>
      <c r="M169" s="35"/>
      <c r="N169" s="35"/>
      <c r="O169" s="35"/>
      <c r="P169" s="35"/>
      <c r="Q169" s="35"/>
      <c r="R169" s="35"/>
      <c r="S169" s="35"/>
      <c r="T169" s="35"/>
      <c r="U169" s="35"/>
      <c r="V169" s="35"/>
      <c r="W169" s="35"/>
      <c r="X169" s="35"/>
      <c r="Y169" s="35"/>
    </row>
    <row r="170" spans="1:25" ht="15.75">
      <c r="A170" s="35"/>
      <c r="B170" s="35"/>
      <c r="C170" s="35"/>
      <c r="D170" s="35"/>
      <c r="E170" s="35"/>
      <c r="F170" s="35"/>
      <c r="G170" s="35"/>
      <c r="H170" s="35"/>
      <c r="I170" s="35"/>
      <c r="J170" s="35"/>
      <c r="K170" s="35"/>
      <c r="L170" s="35"/>
      <c r="M170" s="35"/>
      <c r="N170" s="35"/>
      <c r="O170" s="35"/>
      <c r="P170" s="35"/>
      <c r="Q170" s="35"/>
      <c r="R170" s="35"/>
      <c r="S170" s="35"/>
      <c r="T170" s="35"/>
      <c r="U170" s="35"/>
      <c r="V170" s="35"/>
      <c r="W170" s="35"/>
      <c r="X170" s="35"/>
      <c r="Y170" s="35"/>
    </row>
    <row r="171" spans="1:25" ht="15.75">
      <c r="O171" s="35"/>
      <c r="P171" s="35"/>
      <c r="Q171" s="35"/>
    </row>
  </sheetData>
  <mergeCells count="51">
    <mergeCell ref="B138:D138"/>
    <mergeCell ref="B139:D139"/>
    <mergeCell ref="B140:D140"/>
    <mergeCell ref="P137:R137"/>
    <mergeCell ref="P138:R138"/>
    <mergeCell ref="P139:R139"/>
    <mergeCell ref="P140:R140"/>
    <mergeCell ref="H139:K139"/>
    <mergeCell ref="D129:R129"/>
    <mergeCell ref="J133:O133"/>
    <mergeCell ref="B137:D137"/>
    <mergeCell ref="F135:N135"/>
    <mergeCell ref="B128:C128"/>
    <mergeCell ref="B126:C126"/>
    <mergeCell ref="D126:R126"/>
    <mergeCell ref="D127:R127"/>
    <mergeCell ref="D128:R128"/>
    <mergeCell ref="B122:F122"/>
    <mergeCell ref="H122:K122"/>
    <mergeCell ref="B123:P123"/>
    <mergeCell ref="B124:O124"/>
    <mergeCell ref="L125:O125"/>
    <mergeCell ref="U96:W96"/>
    <mergeCell ref="U97:W97"/>
    <mergeCell ref="U98:W98"/>
    <mergeCell ref="B121:F121"/>
    <mergeCell ref="H121:K121"/>
    <mergeCell ref="J89:K89"/>
    <mergeCell ref="L89:W89"/>
    <mergeCell ref="L90:W90"/>
    <mergeCell ref="L91:W91"/>
    <mergeCell ref="L92:W92"/>
    <mergeCell ref="K82:X82"/>
    <mergeCell ref="K84:X84"/>
    <mergeCell ref="J86:K86"/>
    <mergeCell ref="L86:W86"/>
    <mergeCell ref="L87:W87"/>
    <mergeCell ref="S79:X79"/>
    <mergeCell ref="T2:X4"/>
    <mergeCell ref="N66:X66"/>
    <mergeCell ref="N72:W72"/>
    <mergeCell ref="B6:K6"/>
    <mergeCell ref="B41:L45"/>
    <mergeCell ref="N25:X25"/>
    <mergeCell ref="N27:X32"/>
    <mergeCell ref="B2:K2"/>
    <mergeCell ref="B5:K5"/>
    <mergeCell ref="B8:K8"/>
    <mergeCell ref="P2:R4"/>
    <mergeCell ref="B47:L47"/>
    <mergeCell ref="N34:W34"/>
  </mergeCells>
  <printOptions horizontalCentered="1" verticalCentered="1"/>
  <pageMargins left="3.937007874015748E-2" right="3.937007874015748E-2" top="3.937007874015748E-2" bottom="3.937007874015748E-2" header="1.968503937007874E-2" footer="1.968503937007874E-2"/>
  <pageSetup paperSize="9" orientation="landscape" horizontalDpi="4294967293"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10"/>
  <dimension ref="B4:I37"/>
  <sheetViews>
    <sheetView zoomScaleNormal="100" workbookViewId="0">
      <selection activeCell="B26" sqref="B26:G27"/>
    </sheetView>
  </sheetViews>
  <sheetFormatPr defaultRowHeight="15"/>
  <cols>
    <col min="1" max="1" width="2" customWidth="1"/>
    <col min="2" max="2" width="5.85546875" customWidth="1"/>
    <col min="3" max="3" width="35.85546875" customWidth="1"/>
    <col min="4" max="4" width="10.85546875" customWidth="1"/>
    <col min="5" max="5" width="9" customWidth="1"/>
    <col min="6" max="6" width="13.7109375" customWidth="1"/>
    <col min="7" max="7" width="14.28515625" customWidth="1"/>
    <col min="8" max="8" width="2" customWidth="1"/>
    <col min="11" max="11" width="40.85546875" customWidth="1"/>
  </cols>
  <sheetData>
    <row r="4" spans="2:9" ht="11.25" customHeight="1">
      <c r="B4" s="114" t="str">
        <f>Протокол!B4</f>
        <v>Совместное общество с ограниченной ответственностью «КамелиТурКомпани»</v>
      </c>
      <c r="C4" s="114"/>
      <c r="D4" s="114"/>
      <c r="E4" s="114"/>
      <c r="F4" s="114"/>
      <c r="G4" s="114"/>
      <c r="H4" s="2"/>
      <c r="I4" s="2"/>
    </row>
    <row r="5" spans="2:9" ht="11.25" customHeight="1">
      <c r="B5" s="115" t="str">
        <f>Протокол!B5</f>
        <v>225003, Республика Беларусь, Брестская область, Брестский р-н, д.Тельмы-2, ул. Промышленная, д. 4</v>
      </c>
      <c r="C5" s="115"/>
      <c r="D5" s="115"/>
      <c r="E5" s="115"/>
      <c r="F5" s="115"/>
      <c r="G5" s="115"/>
    </row>
    <row r="6" spans="2:9" ht="33" customHeight="1">
      <c r="B6" s="126" t="s">
        <v>539</v>
      </c>
      <c r="C6" s="115"/>
      <c r="D6" s="115"/>
      <c r="E6" s="115"/>
      <c r="F6" s="115"/>
      <c r="G6" s="115"/>
    </row>
    <row r="7" spans="2:9" ht="11.25" customHeight="1">
      <c r="B7" s="118" t="str">
        <f>Протокол!B7</f>
        <v xml:space="preserve"> УНП 291126593, мобил: +375-29-7006100, факс: +375-162-456887, e-mail: cameli.turcompany@ya.ru</v>
      </c>
      <c r="C7" s="118"/>
      <c r="D7" s="118"/>
      <c r="E7" s="118"/>
      <c r="F7" s="118"/>
      <c r="G7" s="118"/>
    </row>
    <row r="8" spans="2:9">
      <c r="B8" s="1"/>
    </row>
    <row r="9" spans="2:9">
      <c r="B9" s="76"/>
      <c r="C9" s="77" t="s">
        <v>86</v>
      </c>
      <c r="D9" s="79" t="str">
        <f>Счет!D9</f>
        <v>0913-024</v>
      </c>
      <c r="E9" s="79" t="s">
        <v>34</v>
      </c>
      <c r="F9" s="81">
        <f>Заявка!B11</f>
        <v>43501</v>
      </c>
      <c r="G9" s="76"/>
    </row>
    <row r="10" spans="2:9">
      <c r="C10" s="104" t="str">
        <f>Протокол!J1</f>
        <v>к договору № 264 от 21.03.2018</v>
      </c>
      <c r="D10" s="104"/>
      <c r="E10" s="104"/>
      <c r="F10" s="104"/>
    </row>
    <row r="11" spans="2:9" ht="10.5" customHeight="1">
      <c r="C11" s="93"/>
      <c r="D11" s="93"/>
      <c r="E11" s="93"/>
      <c r="F11" s="93"/>
    </row>
    <row r="12" spans="2:9" ht="15.75">
      <c r="B12" s="3" t="s">
        <v>18</v>
      </c>
      <c r="C12" s="9"/>
      <c r="D12" s="11"/>
      <c r="F12" s="12"/>
    </row>
    <row r="13" spans="2:9" ht="29.25" customHeight="1">
      <c r="B13" s="127" t="str">
        <f>Счет!B12</f>
        <v>СООО "КамелиТурКомпани"
225003, Беларусь, Брестская обл., Брестский р-н, д.Тельмы-2, ул. Промышленная, д. 4
р/с в BYN № BY81SLAN30121643300530000000, в USD № BY29SLAN30121643350290100000, 
в Евро № BY34SLAN30121643350290000000, в RUB № BY24SLAN30121643350290200000, БИК SLANBY22, 
банк - ЗАО «Банк ВТБ (Беларусь)» РД № 500 в г. Брест (224016 г. Брест, ул. Московская, 208-1), МФО 153001108</v>
      </c>
      <c r="C13" s="127"/>
      <c r="D13" s="127"/>
      <c r="E13" s="127"/>
      <c r="F13" s="127"/>
      <c r="G13" s="127"/>
    </row>
    <row r="14" spans="2:9" ht="8.25" customHeight="1">
      <c r="B14" s="94"/>
      <c r="C14" s="94"/>
      <c r="D14" s="94"/>
      <c r="E14" s="94"/>
      <c r="F14" s="94"/>
      <c r="G14" s="94"/>
    </row>
    <row r="15" spans="2:9" ht="20.25" customHeight="1">
      <c r="B15" s="96" t="s">
        <v>35</v>
      </c>
      <c r="C15" s="94"/>
      <c r="D15" s="94"/>
      <c r="E15" s="94"/>
      <c r="F15" s="94"/>
      <c r="G15" s="94"/>
    </row>
    <row r="16" spans="2:9" ht="77.25" customHeight="1">
      <c r="B16" s="127" t="str">
        <f>Счет!B15</f>
        <v>ИП Рукша Анна Викторовна.230021, г. Гродно, ул. Белые Росы, 65-63 (230005, г. Гродно, ул. Гаспадарчая, 11), УНП 591259962, р/с BY44 AKBB 3013 0000 6188 6400 0000 (BYN), BY80 AKBB 3013 0000 6190 3400 0000 (RUB), BY43 AKBB 3013 0000 6189 9400 0000 (EUR), BY02 AKBB 3013 0000 6233 5400 0000 (USD), банк - ОАО «АСБ Беларусбанк», филиал № 400 – Гродненское областное управление, БИК AKBBBY21400, +375-33-6870094, vita_6870094@mail.ru</v>
      </c>
      <c r="C16" s="127"/>
      <c r="D16" s="127"/>
      <c r="E16" s="127"/>
      <c r="F16" s="127"/>
      <c r="G16" s="127"/>
    </row>
    <row r="17" spans="2:7" ht="6.75" customHeight="1"/>
    <row r="18" spans="2:7" ht="30">
      <c r="B18" s="130" t="s">
        <v>24</v>
      </c>
      <c r="C18" s="130" t="s">
        <v>32</v>
      </c>
      <c r="D18" s="5" t="s">
        <v>25</v>
      </c>
      <c r="E18" s="131" t="s">
        <v>29</v>
      </c>
      <c r="F18" s="131" t="s">
        <v>30</v>
      </c>
      <c r="G18" s="7" t="s">
        <v>31</v>
      </c>
    </row>
    <row r="19" spans="2:7">
      <c r="B19" s="130"/>
      <c r="C19" s="130"/>
      <c r="D19" s="6" t="str">
        <f>Заявка!B19</f>
        <v>Бел.руб.</v>
      </c>
      <c r="E19" s="131"/>
      <c r="F19" s="131"/>
      <c r="G19" s="8" t="str">
        <f>D19</f>
        <v>Бел.руб.</v>
      </c>
    </row>
    <row r="20" spans="2:7" ht="128.25" customHeight="1">
      <c r="B20" s="95">
        <v>1</v>
      </c>
      <c r="C20" s="16" t="str">
        <f>Счет!C19</f>
        <v xml:space="preserve">Транспортные услуги по маршруту: г. Брест, Беларусь - г. Бобруйск, Могилевская обл., Беларусь. Автомобиль: С/тягач Scania AM 9693-1, п/прицеп Mirofret А 4992 В-1 . Трансп. заявка  от 05.07.2017 N 544Ю, загрузка 05.07.2017, выгрузка 05.02.2019, ТТН ___ № _________, п/л № 041 от 05.07.2017. </v>
      </c>
      <c r="D20" s="68">
        <f>G20-F20</f>
        <v>288.82</v>
      </c>
      <c r="E20" s="26">
        <f>Счет!E19</f>
        <v>20</v>
      </c>
      <c r="F20" s="68">
        <f>ROUND(G20*E20/(100+E20),2)</f>
        <v>57.76</v>
      </c>
      <c r="G20" s="68">
        <f>IF(Заявка!B19=Заявка!C17,Заявка!B17,Заявка!F21)</f>
        <v>346.58</v>
      </c>
    </row>
    <row r="21" spans="2:7">
      <c r="B21" s="132" t="s">
        <v>36</v>
      </c>
      <c r="C21" s="132"/>
      <c r="D21" s="69">
        <f>SUM(D20)</f>
        <v>288.82</v>
      </c>
      <c r="E21" s="69"/>
      <c r="F21" s="69">
        <f>SUM(F20)</f>
        <v>57.76</v>
      </c>
      <c r="G21" s="82">
        <f>SUM(G20)</f>
        <v>346.58</v>
      </c>
    </row>
    <row r="23" spans="2:7">
      <c r="B23" s="170" t="str">
        <f>CONCATENATE("Сумма НДС:  ",IF(F20=0,0,CONCATENATE(СУММАПРОПИСЬЮ(F20)," ",VLOOKUP(D19,Счет!M1:Q4,2,FALSE)," ",TEXT((Акт!F20-INT(Акт!F20))*100,"00")," ",VLOOKUP(Акт!D19,Счет!M1:Q4,5,FALSE),".")) )</f>
        <v>Сумма НДС:  пятьдесят семь  белорусских рублей 76 копеек.</v>
      </c>
      <c r="C23" s="170"/>
      <c r="D23" s="170"/>
      <c r="E23" s="170"/>
      <c r="F23" s="170"/>
      <c r="G23" s="170"/>
    </row>
    <row r="24" spans="2:7">
      <c r="B24" s="169" t="str">
        <f>CONCATENATE("Итого с НДС: ",СУММАПРОПИСЬЮ(G20)," ",VLOOKUP(D19,Счет!M1:Q4,2,FALSE),"  ",TEXT((G20-INT(G20))*100,"00")," ",VLOOKUP(D19,Счет!M1:Q4,5,FALSE),".")</f>
        <v>Итого с НДС: триста сорок шесть  белорусских рублей  58 копеек.</v>
      </c>
      <c r="C24" s="169"/>
      <c r="D24" s="169"/>
      <c r="E24" s="169"/>
      <c r="F24" s="169"/>
      <c r="G24" s="169"/>
    </row>
    <row r="25" spans="2:7" ht="15.75" customHeight="1">
      <c r="B25" s="169"/>
      <c r="C25" s="169"/>
      <c r="D25" s="169"/>
      <c r="E25" s="169"/>
      <c r="F25" s="169"/>
      <c r="G25" s="169"/>
    </row>
    <row r="26" spans="2:7" ht="12.75" customHeight="1">
      <c r="B26" s="171" t="str">
        <f>IF(Заявка!B19=Заявка!C17,"",CONCATENATE("СПРАВОЧНО:   стоимость транспортных услуг из расчета ",Заявка!B17," ",VLOOKUP(Заявка!C17,Счет!M1:Q4,2,FALSE),", курс НБРБ на дату составления акта ",Заявка!F20,". "))</f>
        <v xml:space="preserve">СПРАВОЧНО:   стоимость транспортных услуг из расчета 160,58 долларов США, курс НБРБ на дату составления акта 2.1583. </v>
      </c>
      <c r="C26" s="171"/>
      <c r="D26" s="171"/>
      <c r="E26" s="171"/>
      <c r="F26" s="171"/>
      <c r="G26" s="171"/>
    </row>
    <row r="27" spans="2:7" ht="12.75" customHeight="1">
      <c r="B27" s="171"/>
      <c r="C27" s="171"/>
      <c r="D27" s="171"/>
      <c r="E27" s="171"/>
      <c r="F27" s="171"/>
      <c r="G27" s="171"/>
    </row>
    <row r="28" spans="2:7" ht="15.75" customHeight="1">
      <c r="B28" s="76" t="s">
        <v>87</v>
      </c>
    </row>
    <row r="29" spans="2:7" ht="15.75" customHeight="1">
      <c r="B29" s="76"/>
    </row>
    <row r="31" spans="2:7">
      <c r="B31" t="str">
        <f>Протокол!B15</f>
        <v>ИСПОЛНИТЕЛЬ:</v>
      </c>
      <c r="D31" t="str">
        <f>Протокол!E15</f>
        <v>ЗАКАЗЧИК:</v>
      </c>
    </row>
    <row r="32" spans="2:7">
      <c r="B32" t="str">
        <f>Протокол!B16</f>
        <v>СООО "КамелиТурКомпани"</v>
      </c>
      <c r="D32" t="str">
        <f>Протокол!E16</f>
        <v>ИП Рукша Анна Викторовна</v>
      </c>
    </row>
    <row r="34" spans="2:4">
      <c r="B34" t="str">
        <f>Протокол!B18</f>
        <v>Менеджер по перевозкам</v>
      </c>
      <c r="D34" t="str">
        <f>Протокол!E18</f>
        <v xml:space="preserve">ИП Рукша А.В. </v>
      </c>
    </row>
    <row r="36" spans="2:4">
      <c r="B36" t="str">
        <f>Протокол!B20</f>
        <v>__________________ О.Е. Баранчиков</v>
      </c>
      <c r="D36" t="str">
        <f>Протокол!E20</f>
        <v>___________________ А.В. Рукша</v>
      </c>
    </row>
    <row r="37" spans="2:4">
      <c r="B37" t="str">
        <f>Протокол!B21</f>
        <v>М.П.</v>
      </c>
      <c r="D37" t="str">
        <f>Протокол!E21</f>
        <v>М.П.</v>
      </c>
    </row>
  </sheetData>
  <mergeCells count="15">
    <mergeCell ref="B21:C21"/>
    <mergeCell ref="B24:G25"/>
    <mergeCell ref="B23:G23"/>
    <mergeCell ref="B26:G27"/>
    <mergeCell ref="B16:G16"/>
    <mergeCell ref="B18:B19"/>
    <mergeCell ref="C18:C19"/>
    <mergeCell ref="E18:E19"/>
    <mergeCell ref="F18:F19"/>
    <mergeCell ref="B13:G13"/>
    <mergeCell ref="B4:G4"/>
    <mergeCell ref="B5:G5"/>
    <mergeCell ref="B6:G6"/>
    <mergeCell ref="B7:G7"/>
    <mergeCell ref="C10:F10"/>
  </mergeCells>
  <printOptions horizontalCentered="1" verticalCentered="1"/>
  <pageMargins left="7.874015748031496E-2" right="3.937007874015748E-2" top="3.937007874015748E-2" bottom="3.937007874015748E-2" header="1.968503937007874E-2" footer="1.968503937007874E-2"/>
  <pageSetup paperSize="9" orientation="portrait" horizontalDpi="300" verticalDpi="3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8"/>
  <dimension ref="B2:AG54"/>
  <sheetViews>
    <sheetView workbookViewId="0">
      <selection activeCell="B35" sqref="B35:P35"/>
    </sheetView>
  </sheetViews>
  <sheetFormatPr defaultRowHeight="15"/>
  <cols>
    <col min="1" max="203" width="3.140625" customWidth="1"/>
  </cols>
  <sheetData>
    <row r="2" spans="2:32" ht="21">
      <c r="B2" s="172" t="s">
        <v>84</v>
      </c>
      <c r="C2" s="172"/>
      <c r="D2" s="172"/>
      <c r="E2" s="172"/>
      <c r="F2" s="172"/>
      <c r="G2" s="172"/>
      <c r="H2" s="172"/>
      <c r="I2" s="172"/>
      <c r="J2" s="172"/>
      <c r="K2" s="172"/>
      <c r="L2" s="172"/>
      <c r="M2" s="172"/>
      <c r="N2" s="172"/>
      <c r="O2" s="172"/>
      <c r="P2" s="172"/>
      <c r="X2" s="142" t="s">
        <v>632</v>
      </c>
      <c r="Y2" s="142"/>
      <c r="Z2" s="142"/>
      <c r="AA2" s="142"/>
      <c r="AB2" s="142"/>
      <c r="AC2" s="142"/>
      <c r="AD2" s="142"/>
      <c r="AE2" s="142"/>
      <c r="AF2" s="142"/>
    </row>
    <row r="3" spans="2:32" ht="6" customHeight="1"/>
    <row r="4" spans="2:32" ht="18.75">
      <c r="B4" s="173" t="s">
        <v>663</v>
      </c>
      <c r="C4" s="173"/>
      <c r="D4" s="173"/>
      <c r="E4" s="173"/>
      <c r="F4" s="173"/>
      <c r="G4" s="173"/>
      <c r="H4" s="173"/>
      <c r="I4" s="173"/>
      <c r="J4" s="173"/>
      <c r="K4" s="173"/>
      <c r="L4" s="173"/>
      <c r="M4" s="173"/>
      <c r="N4" s="173"/>
      <c r="O4" s="173"/>
      <c r="P4" s="173"/>
    </row>
    <row r="5" spans="2:32" ht="18.75">
      <c r="B5" s="173" t="s">
        <v>218</v>
      </c>
      <c r="C5" s="173"/>
      <c r="D5" s="173"/>
      <c r="E5" s="173"/>
      <c r="F5" s="173"/>
      <c r="G5" s="173"/>
      <c r="H5" s="173"/>
      <c r="I5" s="173"/>
      <c r="J5" s="173"/>
      <c r="K5" s="173"/>
      <c r="L5" s="173"/>
      <c r="M5" s="173"/>
      <c r="N5" s="173"/>
      <c r="O5" s="173"/>
      <c r="P5" s="173"/>
    </row>
    <row r="6" spans="2:32" ht="6" customHeight="1"/>
    <row r="7" spans="2:32" ht="15.75">
      <c r="B7" s="174" t="s">
        <v>665</v>
      </c>
      <c r="C7" s="174"/>
      <c r="D7" s="174"/>
      <c r="E7" s="174"/>
      <c r="F7" s="174"/>
      <c r="G7" s="174"/>
      <c r="H7" s="174"/>
      <c r="I7" s="174"/>
      <c r="J7" s="174"/>
      <c r="K7" s="174"/>
      <c r="L7" s="174"/>
      <c r="M7" s="174"/>
      <c r="N7" s="174"/>
      <c r="O7" s="174"/>
      <c r="P7" s="174"/>
    </row>
    <row r="19" spans="2:33" ht="21">
      <c r="S19" s="172" t="str">
        <f>Заявка!D1</f>
        <v>ИП Рукша Анна Викторовна</v>
      </c>
      <c r="T19" s="172"/>
      <c r="U19" s="172"/>
      <c r="V19" s="172"/>
      <c r="W19" s="172"/>
      <c r="X19" s="172"/>
      <c r="Y19" s="172"/>
      <c r="Z19" s="172"/>
      <c r="AA19" s="172"/>
      <c r="AB19" s="172"/>
      <c r="AC19" s="172"/>
      <c r="AD19" s="172"/>
      <c r="AE19" s="172"/>
      <c r="AF19" s="172"/>
      <c r="AG19" s="172"/>
    </row>
    <row r="20" spans="2:33" ht="6" customHeight="1"/>
    <row r="21" spans="2:33" ht="18.75">
      <c r="S21" s="173" t="str">
        <f>CONCATENATE(VLOOKUP(S19,Заказчики!B:J,4,FALSE),", ")</f>
        <v xml:space="preserve">ул. Гаспадарчая, д. 11, </v>
      </c>
      <c r="T21" s="173"/>
      <c r="U21" s="173"/>
      <c r="V21" s="173"/>
      <c r="W21" s="173"/>
      <c r="X21" s="173"/>
      <c r="Y21" s="173"/>
      <c r="Z21" s="173"/>
      <c r="AA21" s="173"/>
      <c r="AB21" s="173"/>
      <c r="AC21" s="173"/>
      <c r="AD21" s="173"/>
      <c r="AE21" s="173"/>
      <c r="AF21" s="173"/>
      <c r="AG21" s="173"/>
    </row>
    <row r="22" spans="2:33" ht="18.75">
      <c r="S22" s="175" t="str">
        <f>CONCATENATE(VLOOKUP(S19,Заказчики!B:J,3,FALSE),", ")</f>
        <v xml:space="preserve">230005, г. Гродно, </v>
      </c>
      <c r="T22" s="175"/>
      <c r="U22" s="175"/>
      <c r="V22" s="175"/>
      <c r="W22" s="175"/>
      <c r="X22" s="175"/>
      <c r="Y22" s="175"/>
      <c r="Z22" s="175"/>
      <c r="AA22" s="175"/>
      <c r="AB22" s="175"/>
      <c r="AC22" s="175"/>
      <c r="AD22" s="175"/>
      <c r="AE22" s="175"/>
      <c r="AF22" s="175"/>
      <c r="AG22" s="175"/>
    </row>
    <row r="23" spans="2:33" ht="18.75">
      <c r="S23" s="173" t="str">
        <f>VLOOKUP(S19,Заказчики!B:J,5,FALSE)</f>
        <v>Беларусь</v>
      </c>
      <c r="T23" s="173"/>
      <c r="U23" s="173"/>
      <c r="V23" s="173"/>
      <c r="W23" s="173"/>
      <c r="X23" s="173"/>
      <c r="Y23" s="173"/>
      <c r="Z23" s="173"/>
      <c r="AA23" s="173"/>
      <c r="AB23" s="173"/>
      <c r="AC23" s="173"/>
      <c r="AD23" s="173"/>
      <c r="AE23" s="173"/>
      <c r="AF23" s="173"/>
      <c r="AG23" s="173"/>
    </row>
    <row r="24" spans="2:33" ht="6" customHeight="1"/>
    <row r="25" spans="2:33" ht="15.75">
      <c r="S25" s="176" t="s">
        <v>819</v>
      </c>
      <c r="T25" s="174"/>
      <c r="U25" s="174"/>
      <c r="V25" s="174"/>
      <c r="W25" s="174"/>
      <c r="X25" s="174"/>
      <c r="Y25" s="174"/>
      <c r="Z25" s="174"/>
      <c r="AA25" s="174"/>
      <c r="AB25" s="174"/>
      <c r="AC25" s="174"/>
      <c r="AD25" s="174"/>
      <c r="AE25" s="174"/>
      <c r="AF25" s="174"/>
      <c r="AG25" s="174"/>
    </row>
    <row r="31" spans="2:33" ht="21">
      <c r="B31" s="172" t="str">
        <f>S19</f>
        <v>ИП Рукша Анна Викторовна</v>
      </c>
      <c r="C31" s="172"/>
      <c r="D31" s="172"/>
      <c r="E31" s="172"/>
      <c r="F31" s="172"/>
      <c r="G31" s="172"/>
      <c r="H31" s="172"/>
      <c r="I31" s="172"/>
      <c r="J31" s="172"/>
      <c r="K31" s="172"/>
      <c r="L31" s="172"/>
      <c r="M31" s="172"/>
      <c r="N31" s="172"/>
      <c r="O31" s="172"/>
      <c r="P31" s="172"/>
      <c r="X31" s="142"/>
      <c r="Y31" s="142"/>
      <c r="Z31" s="142"/>
      <c r="AA31" s="142"/>
      <c r="AB31" s="142"/>
      <c r="AC31" s="142"/>
      <c r="AD31" s="142"/>
      <c r="AE31" s="142"/>
      <c r="AF31" s="142"/>
    </row>
    <row r="32" spans="2:33" ht="6" customHeight="1"/>
    <row r="33" spans="2:33" ht="18.75">
      <c r="B33" s="173" t="str">
        <f>S21</f>
        <v xml:space="preserve">ул. Гаспадарчая, д. 11, </v>
      </c>
      <c r="C33" s="173"/>
      <c r="D33" s="173"/>
      <c r="E33" s="173"/>
      <c r="F33" s="173"/>
      <c r="G33" s="173"/>
      <c r="H33" s="173"/>
      <c r="I33" s="173"/>
      <c r="J33" s="173"/>
      <c r="K33" s="173"/>
      <c r="L33" s="173"/>
      <c r="M33" s="173"/>
      <c r="N33" s="173"/>
      <c r="O33" s="173"/>
      <c r="P33" s="173"/>
    </row>
    <row r="34" spans="2:33" ht="18.75">
      <c r="B34" s="173" t="str">
        <f>S22</f>
        <v xml:space="preserve">230005, г. Гродно, </v>
      </c>
      <c r="C34" s="173"/>
      <c r="D34" s="173"/>
      <c r="E34" s="173"/>
      <c r="F34" s="173"/>
      <c r="G34" s="173"/>
      <c r="H34" s="173"/>
      <c r="I34" s="173"/>
      <c r="J34" s="173"/>
      <c r="K34" s="173"/>
      <c r="L34" s="173"/>
      <c r="M34" s="173"/>
      <c r="N34" s="173"/>
      <c r="O34" s="173"/>
      <c r="P34" s="173"/>
    </row>
    <row r="35" spans="2:33" ht="18.75">
      <c r="B35" s="173" t="str">
        <f>S23</f>
        <v>Беларусь</v>
      </c>
      <c r="C35" s="173"/>
      <c r="D35" s="173"/>
      <c r="E35" s="173"/>
      <c r="F35" s="173"/>
      <c r="G35" s="173"/>
      <c r="H35" s="173"/>
      <c r="I35" s="173"/>
      <c r="J35" s="173"/>
      <c r="K35" s="173"/>
      <c r="L35" s="173"/>
      <c r="M35" s="173"/>
      <c r="N35" s="173"/>
      <c r="O35" s="173"/>
      <c r="P35" s="173"/>
    </row>
    <row r="36" spans="2:33" ht="6" customHeight="1"/>
    <row r="37" spans="2:33" ht="15.75">
      <c r="B37" s="174" t="str">
        <f>S25</f>
        <v>+375-33-6870094</v>
      </c>
      <c r="C37" s="174"/>
      <c r="D37" s="174"/>
      <c r="E37" s="174"/>
      <c r="F37" s="174"/>
      <c r="G37" s="174"/>
      <c r="H37" s="174"/>
      <c r="I37" s="174"/>
      <c r="J37" s="174"/>
      <c r="K37" s="174"/>
      <c r="L37" s="174"/>
      <c r="M37" s="174"/>
      <c r="N37" s="174"/>
      <c r="O37" s="174"/>
      <c r="P37" s="174"/>
    </row>
    <row r="48" spans="2:33" ht="21">
      <c r="S48" s="172" t="s">
        <v>84</v>
      </c>
      <c r="T48" s="172"/>
      <c r="U48" s="172"/>
      <c r="V48" s="172"/>
      <c r="W48" s="172"/>
      <c r="X48" s="172"/>
      <c r="Y48" s="172"/>
      <c r="Z48" s="172"/>
      <c r="AA48" s="172"/>
      <c r="AB48" s="172"/>
      <c r="AC48" s="172"/>
      <c r="AD48" s="172"/>
      <c r="AE48" s="172"/>
      <c r="AF48" s="172"/>
      <c r="AG48" s="172"/>
    </row>
    <row r="49" spans="19:33" ht="6" customHeight="1"/>
    <row r="50" spans="19:33" ht="18.75">
      <c r="S50" s="173" t="s">
        <v>818</v>
      </c>
      <c r="T50" s="173"/>
      <c r="U50" s="173"/>
      <c r="V50" s="173"/>
      <c r="W50" s="173"/>
      <c r="X50" s="173"/>
      <c r="Y50" s="173"/>
      <c r="Z50" s="173"/>
      <c r="AA50" s="173"/>
      <c r="AB50" s="173"/>
      <c r="AC50" s="173"/>
      <c r="AD50" s="173"/>
      <c r="AE50" s="173"/>
      <c r="AF50" s="173"/>
      <c r="AG50" s="173"/>
    </row>
    <row r="51" spans="19:33" ht="18.75">
      <c r="S51" s="175" t="s">
        <v>817</v>
      </c>
      <c r="T51" s="175"/>
      <c r="U51" s="175"/>
      <c r="V51" s="175"/>
      <c r="W51" s="175"/>
      <c r="X51" s="175"/>
      <c r="Y51" s="175"/>
      <c r="Z51" s="175"/>
      <c r="AA51" s="175"/>
      <c r="AB51" s="175"/>
      <c r="AC51" s="175"/>
      <c r="AD51" s="175"/>
      <c r="AE51" s="175"/>
      <c r="AF51" s="175"/>
      <c r="AG51" s="175"/>
    </row>
    <row r="52" spans="19:33" ht="18.75">
      <c r="S52" s="173" t="s">
        <v>218</v>
      </c>
      <c r="T52" s="173"/>
      <c r="U52" s="173"/>
      <c r="V52" s="173"/>
      <c r="W52" s="173"/>
      <c r="X52" s="173"/>
      <c r="Y52" s="173"/>
      <c r="Z52" s="173"/>
      <c r="AA52" s="173"/>
      <c r="AB52" s="173"/>
      <c r="AC52" s="173"/>
      <c r="AD52" s="173"/>
      <c r="AE52" s="173"/>
      <c r="AF52" s="173"/>
      <c r="AG52" s="173"/>
    </row>
    <row r="53" spans="19:33" ht="6" customHeight="1"/>
    <row r="54" spans="19:33" ht="15.75">
      <c r="S54" s="176" t="s">
        <v>665</v>
      </c>
      <c r="T54" s="174"/>
      <c r="U54" s="174"/>
      <c r="V54" s="174"/>
      <c r="W54" s="174"/>
      <c r="X54" s="174"/>
      <c r="Y54" s="174"/>
      <c r="Z54" s="174"/>
      <c r="AA54" s="174"/>
      <c r="AB54" s="174"/>
      <c r="AC54" s="174"/>
      <c r="AD54" s="174"/>
      <c r="AE54" s="174"/>
      <c r="AF54" s="174"/>
      <c r="AG54" s="174"/>
    </row>
  </sheetData>
  <mergeCells count="21">
    <mergeCell ref="S51:AG51"/>
    <mergeCell ref="S19:AG19"/>
    <mergeCell ref="S21:AG21"/>
    <mergeCell ref="S52:AG52"/>
    <mergeCell ref="S54:AG54"/>
    <mergeCell ref="S50:AG50"/>
    <mergeCell ref="S22:AG22"/>
    <mergeCell ref="S23:AG23"/>
    <mergeCell ref="S25:AG25"/>
    <mergeCell ref="B34:P34"/>
    <mergeCell ref="B33:P33"/>
    <mergeCell ref="B35:P35"/>
    <mergeCell ref="B37:P37"/>
    <mergeCell ref="S48:AG48"/>
    <mergeCell ref="X2:AF2"/>
    <mergeCell ref="B31:P31"/>
    <mergeCell ref="X31:AF31"/>
    <mergeCell ref="B2:P2"/>
    <mergeCell ref="B4:P4"/>
    <mergeCell ref="B5:P5"/>
    <mergeCell ref="B7:P7"/>
  </mergeCells>
  <pageMargins left="0.19685039370078741" right="0.19685039370078741" top="0.19685039370078741" bottom="0.19685039370078741" header="0" footer="0"/>
  <pageSetup paperSize="28"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9"/>
  <dimension ref="A1:AE95"/>
  <sheetViews>
    <sheetView topLeftCell="A40" workbookViewId="0">
      <selection activeCell="B57" sqref="B57"/>
    </sheetView>
  </sheetViews>
  <sheetFormatPr defaultRowHeight="15"/>
  <cols>
    <col min="1" max="94" width="5.7109375" customWidth="1"/>
  </cols>
  <sheetData>
    <row r="1" spans="4:31">
      <c r="D1" s="12"/>
      <c r="E1" s="12"/>
      <c r="F1" s="12"/>
      <c r="G1" s="49"/>
    </row>
    <row r="2" spans="4:31">
      <c r="D2" s="12"/>
      <c r="E2" s="12"/>
      <c r="F2" s="12"/>
      <c r="G2" s="37"/>
      <c r="H2" s="36"/>
      <c r="I2" s="36"/>
      <c r="J2" s="37"/>
      <c r="K2" s="36"/>
      <c r="L2" s="36"/>
      <c r="M2" s="36"/>
      <c r="N2" s="36"/>
      <c r="O2" s="36"/>
      <c r="P2" s="36"/>
      <c r="Q2" s="36"/>
      <c r="R2" s="36"/>
      <c r="S2" s="36"/>
      <c r="T2" s="36"/>
      <c r="U2" s="36"/>
      <c r="V2" s="36"/>
      <c r="W2" s="39" t="s">
        <v>263</v>
      </c>
      <c r="X2" s="36"/>
      <c r="Y2" s="36"/>
      <c r="Z2" s="36"/>
      <c r="AA2" s="36"/>
      <c r="AB2" s="36"/>
      <c r="AC2" s="36"/>
      <c r="AD2" s="36"/>
      <c r="AE2" s="36"/>
    </row>
    <row r="3" spans="4:31">
      <c r="D3" s="12"/>
      <c r="E3" s="12"/>
      <c r="F3" s="12"/>
      <c r="G3" s="37"/>
      <c r="H3" s="36"/>
      <c r="I3" s="36"/>
      <c r="J3" s="37"/>
      <c r="K3" s="36"/>
      <c r="L3" s="36"/>
      <c r="M3" s="36"/>
      <c r="N3" s="36"/>
      <c r="O3" s="36"/>
      <c r="P3" s="36"/>
      <c r="Q3" s="36"/>
      <c r="R3" s="36"/>
      <c r="S3" s="133" t="str">
        <f>'Конверт С5'!X2</f>
        <v>Договор N215 от 10.04.2013</v>
      </c>
      <c r="T3" s="133"/>
      <c r="U3" s="133"/>
      <c r="V3" s="133"/>
      <c r="W3" s="133"/>
      <c r="X3" s="133"/>
      <c r="Y3" s="36"/>
      <c r="Z3" s="36"/>
      <c r="AA3" s="36"/>
      <c r="AB3" s="36"/>
      <c r="AC3" s="36"/>
      <c r="AD3" s="36"/>
      <c r="AE3" s="36"/>
    </row>
    <row r="4" spans="4:31">
      <c r="D4" s="12"/>
      <c r="E4" s="12"/>
      <c r="F4" s="12"/>
      <c r="G4" s="37"/>
      <c r="H4" s="36"/>
      <c r="I4" s="36"/>
      <c r="J4" s="37"/>
      <c r="K4" s="36"/>
      <c r="L4" s="36"/>
      <c r="M4" s="36"/>
      <c r="N4" s="36"/>
      <c r="O4" s="36"/>
      <c r="P4" s="36"/>
      <c r="Q4" s="36"/>
      <c r="R4" s="36"/>
      <c r="S4" s="36"/>
      <c r="T4" s="36"/>
      <c r="U4" s="36"/>
      <c r="V4" s="36"/>
      <c r="W4" s="36"/>
      <c r="X4" s="36"/>
      <c r="Y4" s="36"/>
      <c r="Z4" s="36"/>
      <c r="AA4" s="36"/>
      <c r="AB4" s="36"/>
      <c r="AC4" s="36"/>
      <c r="AD4" s="36"/>
      <c r="AE4" s="36"/>
    </row>
    <row r="5" spans="4:31">
      <c r="D5" s="12"/>
      <c r="E5" s="12"/>
      <c r="F5" s="12"/>
      <c r="G5" s="37"/>
      <c r="H5" s="36"/>
      <c r="I5" s="36"/>
      <c r="J5" s="37"/>
      <c r="K5" s="36"/>
      <c r="L5" s="36"/>
      <c r="M5" s="36"/>
      <c r="N5" s="36"/>
      <c r="O5" s="36"/>
      <c r="P5" s="36"/>
      <c r="Q5" s="36"/>
      <c r="R5" s="36"/>
      <c r="S5" s="36"/>
      <c r="T5" s="36"/>
      <c r="U5" s="36"/>
      <c r="V5" s="36"/>
      <c r="W5" s="36"/>
      <c r="X5" s="36"/>
      <c r="Y5" s="36"/>
      <c r="Z5" s="36"/>
      <c r="AA5" s="36"/>
      <c r="AB5" s="36"/>
      <c r="AC5" s="36"/>
      <c r="AD5" s="36"/>
      <c r="AE5" s="36"/>
    </row>
    <row r="6" spans="4:31" ht="16.5">
      <c r="D6" s="12"/>
      <c r="E6" s="12"/>
      <c r="F6" s="12"/>
      <c r="G6" s="37"/>
      <c r="H6" s="36"/>
      <c r="I6" s="36"/>
      <c r="J6" s="37"/>
      <c r="K6" s="144" t="s">
        <v>264</v>
      </c>
      <c r="L6" s="144"/>
      <c r="M6" s="144"/>
      <c r="N6" s="144"/>
      <c r="O6" s="144"/>
      <c r="P6" s="144"/>
      <c r="Q6" s="144"/>
      <c r="R6" s="144"/>
      <c r="S6" s="144"/>
      <c r="T6" s="144"/>
      <c r="U6" s="144"/>
      <c r="V6" s="144"/>
      <c r="W6" s="144"/>
      <c r="X6" s="144"/>
      <c r="Y6" s="36"/>
      <c r="Z6" s="36"/>
      <c r="AA6" s="36"/>
      <c r="AB6" s="36"/>
      <c r="AC6" s="36"/>
      <c r="AD6" s="36"/>
      <c r="AE6" s="36"/>
    </row>
    <row r="7" spans="4:31" ht="6.75" customHeight="1">
      <c r="D7" s="12"/>
      <c r="E7" s="12"/>
      <c r="F7" s="12"/>
      <c r="G7" s="37"/>
      <c r="H7" s="36"/>
      <c r="I7" s="36"/>
      <c r="J7" s="37"/>
      <c r="K7" s="36"/>
      <c r="L7" s="36"/>
      <c r="M7" s="36"/>
      <c r="N7" s="36"/>
      <c r="O7" s="36"/>
      <c r="P7" s="36"/>
      <c r="Q7" s="36"/>
      <c r="R7" s="36"/>
      <c r="S7" s="36"/>
      <c r="T7" s="36"/>
      <c r="U7" s="36"/>
      <c r="V7" s="36"/>
      <c r="W7" s="36"/>
      <c r="X7" s="36"/>
      <c r="Y7" s="36"/>
      <c r="Z7" s="36"/>
      <c r="AA7" s="36"/>
      <c r="AB7" s="36"/>
      <c r="AC7" s="36"/>
      <c r="AD7" s="36"/>
      <c r="AE7" s="36"/>
    </row>
    <row r="8" spans="4:31">
      <c r="D8" s="12"/>
      <c r="E8" s="12"/>
      <c r="F8" s="12"/>
      <c r="G8" s="37"/>
      <c r="H8" s="36"/>
      <c r="I8" s="36"/>
      <c r="J8" s="37"/>
      <c r="K8" s="145" t="s">
        <v>265</v>
      </c>
      <c r="L8" s="145"/>
      <c r="M8" s="145"/>
      <c r="N8" s="145"/>
      <c r="O8" s="145"/>
      <c r="P8" s="145"/>
      <c r="Q8" s="145"/>
      <c r="R8" s="145"/>
      <c r="S8" s="145"/>
      <c r="T8" s="145"/>
      <c r="U8" s="145"/>
      <c r="V8" s="145"/>
      <c r="W8" s="145"/>
      <c r="X8" s="145"/>
      <c r="Y8" s="36"/>
      <c r="Z8" s="36"/>
      <c r="AA8" s="36"/>
      <c r="AB8" s="36"/>
      <c r="AC8" s="36"/>
      <c r="AD8" s="36"/>
      <c r="AE8" s="36"/>
    </row>
    <row r="9" spans="4:31" ht="6.75" customHeight="1">
      <c r="D9" s="12"/>
      <c r="E9" s="12"/>
      <c r="F9" s="12"/>
      <c r="G9" s="37"/>
      <c r="H9" s="36"/>
      <c r="I9" s="36"/>
      <c r="J9" s="37"/>
      <c r="K9" s="36"/>
      <c r="L9" s="36"/>
      <c r="M9" s="36"/>
      <c r="N9" s="36"/>
      <c r="O9" s="36"/>
      <c r="P9" s="36"/>
      <c r="Q9" s="36"/>
      <c r="R9" s="36"/>
      <c r="S9" s="36"/>
      <c r="T9" s="36"/>
      <c r="U9" s="36"/>
      <c r="V9" s="36"/>
      <c r="W9" s="36"/>
      <c r="X9" s="36"/>
      <c r="Y9" s="36"/>
      <c r="Z9" s="36"/>
      <c r="AA9" s="36"/>
      <c r="AB9" s="36"/>
      <c r="AC9" s="36"/>
      <c r="AD9" s="36"/>
      <c r="AE9" s="36"/>
    </row>
    <row r="10" spans="4:31" ht="18">
      <c r="D10" s="12"/>
      <c r="E10" s="12"/>
      <c r="F10" s="12"/>
      <c r="G10" s="37"/>
      <c r="H10" s="36"/>
      <c r="I10" s="36"/>
      <c r="J10" s="146" t="s">
        <v>266</v>
      </c>
      <c r="K10" s="147"/>
      <c r="L10" s="148" t="str">
        <f>'Конверт С5'!S48</f>
        <v>СООО "КамелиТурКомпани"</v>
      </c>
      <c r="M10" s="148"/>
      <c r="N10" s="148"/>
      <c r="O10" s="148"/>
      <c r="P10" s="148"/>
      <c r="Q10" s="148"/>
      <c r="R10" s="148"/>
      <c r="S10" s="148"/>
      <c r="T10" s="148"/>
      <c r="U10" s="148"/>
      <c r="V10" s="148"/>
      <c r="W10" s="148"/>
      <c r="X10" s="36"/>
      <c r="Y10" s="36"/>
      <c r="Z10" s="36"/>
      <c r="AA10" s="36"/>
      <c r="AB10" s="36"/>
      <c r="AC10" s="36"/>
      <c r="AD10" s="36"/>
      <c r="AE10" s="36"/>
    </row>
    <row r="11" spans="4:31">
      <c r="D11" s="12"/>
      <c r="E11" s="12"/>
      <c r="F11" s="12"/>
      <c r="G11" s="37"/>
      <c r="H11" s="36"/>
      <c r="I11" s="36"/>
      <c r="J11" s="37"/>
      <c r="K11" s="36"/>
      <c r="L11" s="149"/>
      <c r="M11" s="149"/>
      <c r="N11" s="149"/>
      <c r="O11" s="149"/>
      <c r="P11" s="149"/>
      <c r="Q11" s="149"/>
      <c r="R11" s="149"/>
      <c r="S11" s="149"/>
      <c r="T11" s="149"/>
      <c r="U11" s="149"/>
      <c r="V11" s="149"/>
      <c r="W11" s="149"/>
      <c r="X11" s="36"/>
      <c r="Y11" s="36"/>
      <c r="Z11" s="36"/>
      <c r="AA11" s="36"/>
      <c r="AB11" s="36"/>
      <c r="AC11" s="36"/>
      <c r="AD11" s="36"/>
      <c r="AE11" s="36"/>
    </row>
    <row r="12" spans="4:31" ht="6.75" customHeight="1">
      <c r="D12" s="12"/>
      <c r="E12" s="12"/>
      <c r="F12" s="12"/>
      <c r="G12" s="37"/>
      <c r="H12" s="36"/>
      <c r="I12" s="36"/>
      <c r="J12" s="37"/>
      <c r="K12" s="36"/>
      <c r="L12" s="36"/>
      <c r="M12" s="36"/>
      <c r="N12" s="36"/>
      <c r="O12" s="36"/>
      <c r="P12" s="36"/>
      <c r="Q12" s="36"/>
      <c r="R12" s="36"/>
      <c r="S12" s="36"/>
      <c r="T12" s="36"/>
      <c r="U12" s="36"/>
      <c r="V12" s="36"/>
      <c r="W12" s="36"/>
      <c r="X12" s="36"/>
      <c r="Y12" s="36"/>
      <c r="Z12" s="36"/>
      <c r="AA12" s="36"/>
      <c r="AB12" s="36"/>
      <c r="AC12" s="36"/>
      <c r="AD12" s="36"/>
      <c r="AE12" s="36"/>
    </row>
    <row r="13" spans="4:31" ht="18">
      <c r="D13" s="12"/>
      <c r="E13" s="12"/>
      <c r="F13" s="12"/>
      <c r="G13" s="37"/>
      <c r="H13" s="36"/>
      <c r="I13" s="36"/>
      <c r="J13" s="146" t="s">
        <v>267</v>
      </c>
      <c r="K13" s="150"/>
      <c r="L13" s="148" t="str">
        <f>'Конверт С5'!S50</f>
        <v xml:space="preserve">ул. Чернянская, д. 8/2, </v>
      </c>
      <c r="M13" s="148"/>
      <c r="N13" s="148"/>
      <c r="O13" s="148"/>
      <c r="P13" s="148"/>
      <c r="Q13" s="148"/>
      <c r="R13" s="148"/>
      <c r="S13" s="148"/>
      <c r="T13" s="148"/>
      <c r="U13" s="148"/>
      <c r="V13" s="148"/>
      <c r="W13" s="148"/>
      <c r="X13" s="36"/>
      <c r="Y13" s="36"/>
      <c r="Z13" s="36"/>
      <c r="AA13" s="36"/>
      <c r="AB13" s="36"/>
      <c r="AC13" s="36"/>
      <c r="AD13" s="36"/>
      <c r="AE13" s="36"/>
    </row>
    <row r="14" spans="4:31" ht="18">
      <c r="D14" s="12"/>
      <c r="E14" s="12"/>
      <c r="F14" s="12"/>
      <c r="G14" s="37"/>
      <c r="H14" s="36"/>
      <c r="I14" s="36"/>
      <c r="J14" s="37"/>
      <c r="K14" s="36"/>
      <c r="L14" s="148" t="str">
        <f>'Конверт С5'!S51</f>
        <v xml:space="preserve">224024, г. Брест, </v>
      </c>
      <c r="M14" s="148"/>
      <c r="N14" s="148"/>
      <c r="O14" s="148"/>
      <c r="P14" s="148"/>
      <c r="Q14" s="148"/>
      <c r="R14" s="148"/>
      <c r="S14" s="148"/>
      <c r="T14" s="148"/>
      <c r="U14" s="148"/>
      <c r="V14" s="148"/>
      <c r="W14" s="148"/>
      <c r="X14" s="36"/>
      <c r="Y14" s="36"/>
      <c r="Z14" s="36"/>
      <c r="AA14" s="36"/>
      <c r="AB14" s="36"/>
      <c r="AC14" s="36"/>
      <c r="AD14" s="36"/>
      <c r="AE14" s="36"/>
    </row>
    <row r="15" spans="4:31" ht="18">
      <c r="D15" s="12"/>
      <c r="E15" s="12"/>
      <c r="F15" s="12"/>
      <c r="G15" s="37"/>
      <c r="H15" s="36"/>
      <c r="I15" s="36"/>
      <c r="J15" s="37"/>
      <c r="K15" s="36"/>
      <c r="L15" s="148" t="str">
        <f>'Конверт С5'!S52</f>
        <v>Беларусь</v>
      </c>
      <c r="M15" s="148"/>
      <c r="N15" s="148"/>
      <c r="O15" s="148"/>
      <c r="P15" s="148"/>
      <c r="Q15" s="148"/>
      <c r="R15" s="148"/>
      <c r="S15" s="148"/>
      <c r="T15" s="148"/>
      <c r="U15" s="148"/>
      <c r="V15" s="148"/>
      <c r="W15" s="148"/>
      <c r="X15" s="36"/>
      <c r="Y15" s="36"/>
      <c r="Z15" s="36"/>
      <c r="AA15" s="36"/>
      <c r="AB15" s="36"/>
      <c r="AC15" s="36"/>
      <c r="AD15" s="36"/>
      <c r="AE15" s="36"/>
    </row>
    <row r="16" spans="4:31" ht="10.5" customHeight="1">
      <c r="D16" s="12"/>
      <c r="E16" s="12"/>
      <c r="F16" s="12"/>
      <c r="G16" s="37"/>
      <c r="H16" s="36"/>
      <c r="I16" s="36"/>
      <c r="J16" s="37"/>
      <c r="K16" s="36"/>
      <c r="L16" s="177" t="str">
        <f>'Конверт С5'!S54</f>
        <v>(тел.: +375-29-7006100, факс: +375-162-456887)</v>
      </c>
      <c r="M16" s="177"/>
      <c r="N16" s="177"/>
      <c r="O16" s="177"/>
      <c r="P16" s="177"/>
      <c r="Q16" s="177"/>
      <c r="R16" s="177"/>
      <c r="S16" s="177"/>
      <c r="T16" s="177"/>
      <c r="U16" s="177"/>
      <c r="V16" s="177"/>
      <c r="W16" s="177"/>
      <c r="X16" s="36"/>
      <c r="Y16" s="36"/>
      <c r="Z16" s="36"/>
      <c r="AA16" s="36"/>
      <c r="AB16" s="36"/>
      <c r="AC16" s="36"/>
      <c r="AD16" s="36"/>
      <c r="AE16" s="36"/>
    </row>
    <row r="17" spans="1:31">
      <c r="D17" s="12"/>
      <c r="E17" s="12"/>
      <c r="F17" s="12"/>
      <c r="G17" s="37"/>
      <c r="H17" s="36"/>
      <c r="I17" s="36"/>
      <c r="J17" s="37"/>
      <c r="K17" s="36"/>
      <c r="L17" s="38"/>
      <c r="M17" s="38"/>
      <c r="N17" s="38"/>
      <c r="O17" s="38"/>
      <c r="P17" s="38"/>
      <c r="Q17" s="38"/>
      <c r="R17" s="38"/>
      <c r="S17" s="38"/>
      <c r="T17" s="38"/>
      <c r="U17" s="38"/>
      <c r="V17" s="38"/>
      <c r="W17" s="38"/>
      <c r="X17" s="36"/>
      <c r="Y17" s="36"/>
      <c r="Z17" s="36"/>
      <c r="AA17" s="36"/>
      <c r="AB17" s="36"/>
      <c r="AC17" s="36"/>
      <c r="AD17" s="36"/>
      <c r="AE17" s="36"/>
    </row>
    <row r="18" spans="1:31">
      <c r="D18" s="12"/>
      <c r="E18" s="12"/>
      <c r="F18" s="12"/>
      <c r="G18" s="37"/>
      <c r="H18" s="36"/>
      <c r="I18" s="36"/>
      <c r="J18" s="37"/>
      <c r="K18" s="36"/>
      <c r="L18" s="36"/>
      <c r="M18" s="36"/>
      <c r="N18" s="36"/>
      <c r="O18" s="36"/>
      <c r="P18" s="36"/>
      <c r="Q18" s="36"/>
      <c r="R18" s="36"/>
      <c r="S18" s="36"/>
      <c r="T18" s="36"/>
      <c r="U18" s="36"/>
      <c r="V18" s="36"/>
      <c r="W18" s="36"/>
      <c r="X18" s="36"/>
      <c r="Y18" s="36"/>
      <c r="Z18" s="36"/>
      <c r="AA18" s="36"/>
      <c r="AB18" s="36"/>
      <c r="AC18" s="36"/>
      <c r="AD18" s="36"/>
      <c r="AE18" s="36"/>
    </row>
    <row r="19" spans="1:31" ht="9.75" customHeight="1">
      <c r="D19" s="12"/>
      <c r="E19" s="12"/>
      <c r="F19" s="12"/>
      <c r="G19" s="37"/>
      <c r="H19" s="36"/>
      <c r="I19" s="36"/>
      <c r="J19" s="37"/>
      <c r="K19" s="36"/>
      <c r="L19" s="36"/>
      <c r="M19" s="36"/>
      <c r="N19" s="36"/>
      <c r="O19" s="36"/>
      <c r="P19" s="36"/>
      <c r="Q19" s="36"/>
      <c r="R19" s="36"/>
      <c r="S19" s="36"/>
      <c r="T19" s="36"/>
      <c r="U19" s="36"/>
      <c r="V19" s="36"/>
      <c r="W19" s="36"/>
      <c r="X19" s="36"/>
      <c r="Y19" s="36"/>
      <c r="Z19" s="36"/>
      <c r="AA19" s="36"/>
      <c r="AB19" s="36"/>
      <c r="AC19" s="36"/>
      <c r="AD19" s="36"/>
      <c r="AE19" s="36"/>
    </row>
    <row r="20" spans="1:31" ht="9.75" customHeight="1">
      <c r="D20" s="12"/>
      <c r="E20" s="12"/>
      <c r="F20" s="12"/>
      <c r="G20" s="37"/>
      <c r="H20" s="36"/>
      <c r="I20" s="36"/>
      <c r="J20" s="36"/>
      <c r="K20" s="36"/>
      <c r="L20" s="36"/>
      <c r="M20" s="36"/>
      <c r="N20" s="36"/>
      <c r="O20" s="36"/>
      <c r="P20" s="36"/>
      <c r="Q20" s="36"/>
      <c r="R20" s="36"/>
      <c r="S20" s="36"/>
      <c r="T20" s="36"/>
      <c r="U20" s="153" t="s">
        <v>268</v>
      </c>
      <c r="V20" s="153"/>
      <c r="W20" s="153"/>
      <c r="X20" s="36"/>
      <c r="Y20" s="36"/>
      <c r="Z20" s="36"/>
      <c r="AA20" s="36"/>
      <c r="AB20" s="36"/>
      <c r="AC20" s="36"/>
      <c r="AD20" s="36"/>
      <c r="AE20" s="36"/>
    </row>
    <row r="21" spans="1:31" ht="9.75" customHeight="1">
      <c r="D21" s="12"/>
      <c r="E21" s="12"/>
      <c r="F21" s="12"/>
      <c r="G21" s="37"/>
      <c r="H21" s="36"/>
      <c r="I21" s="36"/>
      <c r="J21" s="36"/>
      <c r="K21" s="36"/>
      <c r="L21" s="36"/>
      <c r="M21" s="36"/>
      <c r="N21" s="36"/>
      <c r="O21" s="36"/>
      <c r="P21" s="36"/>
      <c r="Q21" s="36"/>
      <c r="R21" s="36"/>
      <c r="S21" s="36"/>
      <c r="T21" s="36"/>
      <c r="U21" s="153" t="s">
        <v>269</v>
      </c>
      <c r="V21" s="153"/>
      <c r="W21" s="153"/>
      <c r="X21" s="36"/>
      <c r="Y21" s="36"/>
      <c r="Z21" s="36"/>
      <c r="AA21" s="36"/>
      <c r="AB21" s="36"/>
      <c r="AC21" s="36"/>
      <c r="AD21" s="36"/>
      <c r="AE21" s="36"/>
    </row>
    <row r="22" spans="1:31" ht="9.75" customHeight="1">
      <c r="D22" s="12"/>
      <c r="E22" s="12"/>
      <c r="F22" s="12"/>
      <c r="G22" s="37"/>
      <c r="H22" s="36"/>
      <c r="I22" s="36"/>
      <c r="J22" s="36"/>
      <c r="K22" s="36"/>
      <c r="L22" s="36"/>
      <c r="M22" s="36"/>
      <c r="N22" s="36"/>
      <c r="O22" s="36"/>
      <c r="P22" s="36"/>
      <c r="Q22" s="36"/>
      <c r="R22" s="36"/>
      <c r="S22" s="36"/>
      <c r="T22" s="36"/>
      <c r="U22" s="153" t="s">
        <v>270</v>
      </c>
      <c r="V22" s="153"/>
      <c r="W22" s="153"/>
      <c r="X22" s="36"/>
      <c r="Y22" s="36"/>
      <c r="Z22" s="36"/>
      <c r="AA22" s="36"/>
      <c r="AB22" s="36"/>
      <c r="AC22" s="36"/>
      <c r="AD22" s="36"/>
      <c r="AE22" s="36"/>
    </row>
    <row r="23" spans="1:31" ht="8.25" customHeight="1">
      <c r="D23" s="12"/>
      <c r="E23" s="12"/>
      <c r="F23" s="12"/>
      <c r="G23" s="37"/>
      <c r="H23" s="45"/>
      <c r="I23" s="45"/>
      <c r="J23" s="45"/>
      <c r="K23" s="45"/>
      <c r="L23" s="45"/>
      <c r="M23" s="45"/>
      <c r="N23" s="45"/>
      <c r="O23" s="45"/>
      <c r="P23" s="45"/>
      <c r="Q23" s="45"/>
      <c r="R23" s="45"/>
      <c r="S23" s="45"/>
      <c r="T23" s="45"/>
      <c r="U23" s="45"/>
      <c r="V23" s="45"/>
      <c r="W23" s="45"/>
      <c r="X23" s="45"/>
      <c r="Y23" s="45"/>
      <c r="Z23" s="36"/>
      <c r="AA23" s="36"/>
      <c r="AB23" s="36"/>
      <c r="AC23" s="36"/>
      <c r="AD23" s="36"/>
      <c r="AE23" s="36"/>
    </row>
    <row r="24" spans="1:31" ht="8.25" customHeight="1">
      <c r="D24" s="12"/>
      <c r="E24" s="12"/>
      <c r="F24" s="12"/>
      <c r="G24" s="40"/>
      <c r="H24" s="40"/>
      <c r="I24" s="40"/>
      <c r="J24" s="40"/>
      <c r="K24" s="40"/>
      <c r="L24" s="40"/>
      <c r="M24" s="40"/>
      <c r="N24" s="40"/>
      <c r="O24" s="40"/>
      <c r="P24" s="40"/>
      <c r="Q24" s="40"/>
      <c r="R24" s="40"/>
      <c r="S24" s="40"/>
      <c r="T24" s="40"/>
      <c r="U24" s="40"/>
      <c r="V24" s="40"/>
      <c r="W24" s="40"/>
      <c r="X24" s="45"/>
      <c r="Y24" s="45"/>
      <c r="Z24" s="36"/>
      <c r="AA24" s="36"/>
      <c r="AB24" s="36"/>
      <c r="AC24" s="36"/>
      <c r="AD24" s="36"/>
      <c r="AE24" s="36"/>
    </row>
    <row r="25" spans="1:31" ht="15" customHeight="1">
      <c r="A25" s="45"/>
      <c r="B25" s="45"/>
      <c r="C25" s="45"/>
      <c r="D25" s="45"/>
      <c r="E25" s="45"/>
      <c r="F25" s="45"/>
      <c r="G25" s="45"/>
      <c r="H25" s="45"/>
      <c r="I25" s="45"/>
      <c r="J25" s="45"/>
      <c r="K25" s="45"/>
      <c r="L25" s="45"/>
      <c r="M25" s="45"/>
      <c r="N25" s="45"/>
      <c r="O25" s="45"/>
      <c r="P25" s="45"/>
      <c r="Q25" s="45"/>
      <c r="R25" s="45"/>
      <c r="S25" s="45"/>
      <c r="T25" s="45"/>
      <c r="U25" s="45"/>
      <c r="V25" s="45"/>
      <c r="W25" s="45"/>
      <c r="X25" s="45"/>
      <c r="Y25" s="45"/>
    </row>
    <row r="26" spans="1:31" ht="15" customHeight="1">
      <c r="A26" s="45"/>
      <c r="B26" s="45"/>
      <c r="C26" s="45"/>
      <c r="D26" s="45"/>
      <c r="E26" s="45"/>
      <c r="F26" s="45"/>
      <c r="G26" s="45"/>
      <c r="H26" s="45"/>
      <c r="I26" s="45"/>
      <c r="J26" s="45"/>
      <c r="K26" s="45"/>
      <c r="L26" s="45"/>
      <c r="M26" s="45"/>
      <c r="N26" s="45"/>
      <c r="O26" s="45"/>
      <c r="P26" s="45"/>
      <c r="Q26" s="45"/>
      <c r="R26" s="45"/>
      <c r="S26" s="45"/>
      <c r="T26" s="36"/>
      <c r="U26" s="36"/>
      <c r="V26" s="36"/>
      <c r="W26" s="36"/>
      <c r="X26" s="36"/>
      <c r="Y26" s="36"/>
    </row>
    <row r="27" spans="1:31" ht="15" customHeight="1">
      <c r="A27" s="45"/>
      <c r="B27" s="45"/>
      <c r="C27" s="45"/>
      <c r="D27" s="45"/>
      <c r="E27" s="45"/>
      <c r="F27" s="45"/>
      <c r="G27" s="45"/>
      <c r="H27" s="45"/>
      <c r="I27" s="45"/>
      <c r="J27" s="45"/>
      <c r="K27" s="45"/>
      <c r="L27" s="45"/>
      <c r="M27" s="45"/>
      <c r="N27" s="45"/>
      <c r="O27" s="45"/>
      <c r="P27" s="45"/>
      <c r="Q27" s="45"/>
      <c r="R27" s="45"/>
      <c r="S27" s="45"/>
      <c r="T27" s="36"/>
      <c r="U27" s="36"/>
      <c r="V27" s="36"/>
      <c r="W27" s="36"/>
      <c r="X27" s="36"/>
      <c r="Y27" s="36"/>
    </row>
    <row r="28" spans="1:31" ht="15" customHeight="1">
      <c r="A28" s="45"/>
      <c r="B28" s="45"/>
      <c r="C28" s="45"/>
      <c r="D28" s="45"/>
      <c r="E28" s="45"/>
      <c r="F28" s="45"/>
      <c r="G28" s="45"/>
      <c r="H28" s="45"/>
      <c r="I28" s="45"/>
      <c r="J28" s="45"/>
      <c r="K28" s="45"/>
      <c r="L28" s="45"/>
      <c r="M28" s="45"/>
      <c r="N28" s="45"/>
      <c r="O28" s="45"/>
      <c r="P28" s="45"/>
      <c r="Q28" s="45"/>
      <c r="R28" s="45"/>
      <c r="S28" s="45"/>
      <c r="T28" s="36"/>
      <c r="U28" s="36"/>
      <c r="V28" s="36"/>
      <c r="W28" s="36"/>
      <c r="X28" s="36"/>
      <c r="Y28" s="36"/>
    </row>
    <row r="29" spans="1:31" ht="15" customHeight="1">
      <c r="A29" s="45"/>
      <c r="B29" s="45"/>
      <c r="C29" s="45"/>
      <c r="D29" s="45"/>
      <c r="E29" s="45"/>
      <c r="F29" s="45"/>
      <c r="G29" s="45"/>
      <c r="H29" s="45"/>
      <c r="I29" s="45"/>
      <c r="J29" s="45"/>
      <c r="K29" s="45"/>
      <c r="L29" s="45"/>
      <c r="M29" s="45"/>
      <c r="N29" s="45"/>
      <c r="O29" s="45"/>
      <c r="P29" s="45"/>
      <c r="Q29" s="45"/>
      <c r="R29" s="45"/>
      <c r="S29" s="45"/>
      <c r="T29" s="36"/>
      <c r="U29" s="36"/>
      <c r="V29" s="36"/>
      <c r="W29" s="36"/>
      <c r="X29" s="36"/>
      <c r="Y29" s="36"/>
    </row>
    <row r="30" spans="1:31" ht="15" customHeight="1">
      <c r="A30" s="45"/>
      <c r="B30" s="45"/>
      <c r="C30" s="45"/>
      <c r="D30" s="45"/>
      <c r="E30" s="45"/>
      <c r="F30" s="45"/>
      <c r="G30" s="45"/>
      <c r="H30" s="45"/>
      <c r="I30" s="45"/>
      <c r="J30" s="45"/>
      <c r="K30" s="45"/>
      <c r="L30" s="45"/>
      <c r="M30" s="45"/>
      <c r="N30" s="45"/>
      <c r="O30" s="45"/>
      <c r="P30" s="45"/>
      <c r="Q30" s="45"/>
      <c r="R30" s="45"/>
      <c r="S30" s="45"/>
      <c r="T30" s="36"/>
      <c r="U30" s="36"/>
      <c r="V30" s="36"/>
      <c r="W30" s="36"/>
      <c r="X30" s="36"/>
      <c r="Y30" s="36"/>
    </row>
    <row r="31" spans="1:31" ht="15" customHeight="1">
      <c r="A31" s="45"/>
      <c r="B31" s="45"/>
      <c r="C31" s="45"/>
      <c r="D31" s="45"/>
      <c r="E31" s="45"/>
      <c r="F31" s="45"/>
      <c r="G31" s="45"/>
      <c r="H31" s="45"/>
      <c r="I31" s="45"/>
      <c r="J31" s="45"/>
      <c r="K31" s="45"/>
      <c r="L31" s="45"/>
      <c r="M31" s="45"/>
      <c r="N31" s="45"/>
      <c r="O31" s="45"/>
      <c r="P31" s="45"/>
      <c r="Q31" s="45"/>
      <c r="R31" s="45"/>
      <c r="S31" s="45"/>
      <c r="T31" s="36"/>
      <c r="U31" s="36"/>
      <c r="V31" s="36"/>
      <c r="W31" s="36"/>
      <c r="X31" s="36"/>
      <c r="Y31" s="36"/>
    </row>
    <row r="32" spans="1:31" ht="15" customHeight="1">
      <c r="A32" s="45"/>
      <c r="B32" s="45"/>
      <c r="C32" s="45"/>
      <c r="D32" s="45"/>
      <c r="E32" s="45"/>
      <c r="F32" s="45"/>
      <c r="G32" s="45"/>
      <c r="H32" s="45"/>
      <c r="I32" s="45"/>
      <c r="J32" s="45"/>
      <c r="K32" s="45"/>
      <c r="L32" s="45"/>
      <c r="M32" s="45"/>
      <c r="N32" s="45"/>
      <c r="O32" s="45"/>
      <c r="P32" s="45"/>
      <c r="Q32" s="45"/>
      <c r="R32" s="45"/>
      <c r="S32" s="45"/>
      <c r="T32" s="36"/>
      <c r="U32" s="36"/>
      <c r="V32" s="36"/>
      <c r="W32" s="36"/>
      <c r="X32" s="36"/>
      <c r="Y32" s="36"/>
    </row>
    <row r="33" spans="1:25" ht="15" customHeight="1">
      <c r="A33" s="45"/>
      <c r="B33" s="45"/>
      <c r="C33" s="45"/>
      <c r="D33" s="45"/>
      <c r="E33" s="45"/>
      <c r="F33" s="45"/>
      <c r="G33" s="45"/>
      <c r="H33" s="45"/>
      <c r="I33" s="45"/>
      <c r="J33" s="45"/>
      <c r="K33" s="45"/>
      <c r="L33" s="45"/>
      <c r="M33" s="45"/>
      <c r="N33" s="45"/>
      <c r="O33" s="45"/>
      <c r="P33" s="45"/>
      <c r="Q33" s="45"/>
      <c r="R33" s="45"/>
      <c r="S33" s="45"/>
      <c r="T33" s="36"/>
      <c r="U33" s="36"/>
      <c r="V33" s="36"/>
      <c r="W33" s="36"/>
      <c r="X33" s="36"/>
      <c r="Y33" s="36"/>
    </row>
    <row r="34" spans="1:25" ht="15" customHeight="1">
      <c r="A34" s="45"/>
      <c r="B34" s="45"/>
      <c r="C34" s="45"/>
      <c r="D34" s="45"/>
      <c r="E34" s="45"/>
      <c r="F34" s="45"/>
      <c r="G34" s="45"/>
      <c r="H34" s="45"/>
      <c r="I34" s="45"/>
      <c r="J34" s="45"/>
      <c r="K34" s="45"/>
      <c r="L34" s="45"/>
      <c r="M34" s="45"/>
      <c r="N34" s="45"/>
      <c r="O34" s="45"/>
      <c r="P34" s="45"/>
      <c r="Q34" s="45"/>
      <c r="R34" s="45"/>
      <c r="S34" s="45"/>
      <c r="T34" s="36"/>
      <c r="U34" s="36"/>
      <c r="V34" s="36"/>
      <c r="W34" s="36"/>
      <c r="X34" s="36"/>
      <c r="Y34" s="36"/>
    </row>
    <row r="35" spans="1:25" ht="15" customHeight="1">
      <c r="A35" s="45"/>
      <c r="B35" s="45"/>
      <c r="C35" s="45"/>
      <c r="D35" s="45"/>
      <c r="E35" s="45"/>
      <c r="F35" s="45"/>
      <c r="G35" s="45"/>
      <c r="H35" s="45"/>
      <c r="I35" s="45"/>
      <c r="J35" s="45"/>
      <c r="K35" s="45"/>
      <c r="L35" s="45"/>
      <c r="M35" s="45"/>
      <c r="N35" s="45"/>
      <c r="O35" s="45"/>
      <c r="P35" s="45"/>
      <c r="Q35" s="45"/>
      <c r="R35" s="45"/>
      <c r="S35" s="45"/>
      <c r="T35" s="36"/>
      <c r="U35" s="36"/>
      <c r="V35" s="36"/>
      <c r="W35" s="36"/>
      <c r="X35" s="36"/>
      <c r="Y35" s="36"/>
    </row>
    <row r="36" spans="1:25" ht="15" customHeight="1">
      <c r="A36" s="45"/>
      <c r="B36" s="45"/>
      <c r="C36" s="45"/>
      <c r="D36" s="45"/>
      <c r="E36" s="45"/>
      <c r="F36" s="45"/>
      <c r="G36" s="45"/>
      <c r="H36" s="45"/>
      <c r="I36" s="45"/>
      <c r="J36" s="45"/>
      <c r="K36" s="45"/>
      <c r="L36" s="45"/>
      <c r="M36" s="45"/>
      <c r="N36" s="45"/>
      <c r="O36" s="45"/>
      <c r="P36" s="45"/>
      <c r="Q36" s="45"/>
      <c r="R36" s="45"/>
      <c r="S36" s="45"/>
      <c r="T36" s="36"/>
      <c r="U36" s="36"/>
      <c r="V36" s="36"/>
      <c r="W36" s="36"/>
      <c r="X36" s="36"/>
      <c r="Y36" s="36"/>
    </row>
    <row r="37" spans="1:25" ht="15" customHeight="1">
      <c r="A37" s="45"/>
      <c r="B37" s="45"/>
      <c r="C37" s="45"/>
      <c r="D37" s="45"/>
      <c r="E37" s="45"/>
      <c r="F37" s="45"/>
      <c r="G37" s="45"/>
      <c r="H37" s="45"/>
      <c r="I37" s="45"/>
      <c r="J37" s="45"/>
      <c r="K37" s="45"/>
      <c r="L37" s="45"/>
      <c r="M37" s="45"/>
      <c r="N37" s="45"/>
      <c r="O37" s="45"/>
      <c r="P37" s="45"/>
      <c r="Q37" s="45"/>
      <c r="R37" s="45"/>
      <c r="S37" s="45"/>
      <c r="T37" s="36"/>
      <c r="U37" s="36"/>
      <c r="V37" s="36"/>
      <c r="W37" s="36"/>
      <c r="X37" s="36"/>
      <c r="Y37" s="36"/>
    </row>
    <row r="38" spans="1:25" ht="15" customHeight="1">
      <c r="A38" s="45"/>
      <c r="B38" s="45"/>
      <c r="C38" s="45"/>
      <c r="D38" s="45"/>
      <c r="E38" s="45"/>
      <c r="F38" s="45"/>
      <c r="G38" s="45"/>
      <c r="H38" s="45"/>
      <c r="I38" s="45"/>
      <c r="J38" s="45"/>
      <c r="K38" s="45"/>
      <c r="L38" s="45"/>
      <c r="M38" s="45"/>
      <c r="N38" s="45"/>
      <c r="O38" s="45"/>
      <c r="P38" s="45"/>
      <c r="Q38" s="45"/>
      <c r="R38" s="45"/>
      <c r="S38" s="45"/>
      <c r="T38" s="36"/>
      <c r="U38" s="36"/>
      <c r="V38" s="36"/>
      <c r="W38" s="36"/>
      <c r="X38" s="36"/>
      <c r="Y38" s="36"/>
    </row>
    <row r="39" spans="1:25" ht="15" customHeight="1">
      <c r="A39" s="45"/>
      <c r="B39" s="45"/>
      <c r="C39" s="45"/>
      <c r="D39" s="45"/>
      <c r="E39" s="45"/>
      <c r="F39" s="45"/>
      <c r="G39" s="45"/>
      <c r="H39" s="45"/>
      <c r="I39" s="45"/>
      <c r="J39" s="45"/>
      <c r="K39" s="45"/>
      <c r="L39" s="45"/>
      <c r="M39" s="45"/>
      <c r="N39" s="45"/>
      <c r="O39" s="45"/>
      <c r="P39" s="45"/>
      <c r="Q39" s="45"/>
      <c r="R39" s="45"/>
      <c r="S39" s="45"/>
      <c r="T39" s="36"/>
      <c r="U39" s="36"/>
      <c r="V39" s="36"/>
      <c r="W39" s="36"/>
      <c r="X39" s="36"/>
      <c r="Y39" s="36"/>
    </row>
    <row r="40" spans="1:25" ht="15" customHeight="1">
      <c r="A40" s="45"/>
      <c r="B40" s="45"/>
      <c r="C40" s="45"/>
      <c r="D40" s="45"/>
      <c r="E40" s="45"/>
      <c r="F40" s="45"/>
      <c r="G40" s="45"/>
      <c r="H40" s="45"/>
      <c r="I40" s="45"/>
      <c r="J40" s="45"/>
      <c r="K40" s="45"/>
      <c r="L40" s="45"/>
      <c r="M40" s="45"/>
      <c r="N40" s="45"/>
      <c r="O40" s="45"/>
      <c r="P40" s="45"/>
      <c r="Q40" s="45"/>
      <c r="R40" s="45"/>
      <c r="S40" s="45"/>
      <c r="T40" s="36"/>
      <c r="U40" s="36"/>
      <c r="V40" s="36"/>
      <c r="W40" s="36"/>
      <c r="X40" s="36"/>
      <c r="Y40" s="36"/>
    </row>
    <row r="41" spans="1:25" ht="15" customHeight="1">
      <c r="A41" s="45"/>
      <c r="B41" s="45"/>
      <c r="C41" s="45"/>
      <c r="D41" s="45"/>
      <c r="E41" s="45"/>
      <c r="F41" s="45"/>
      <c r="G41" s="45"/>
      <c r="H41" s="45"/>
      <c r="I41" s="45"/>
      <c r="J41" s="45"/>
      <c r="K41" s="45"/>
      <c r="L41" s="45"/>
      <c r="M41" s="45"/>
      <c r="N41" s="45"/>
      <c r="O41" s="45"/>
      <c r="P41" s="45"/>
      <c r="Q41" s="45"/>
      <c r="R41" s="45"/>
      <c r="S41" s="45"/>
      <c r="T41" s="36"/>
      <c r="U41" s="36"/>
      <c r="V41" s="36"/>
      <c r="W41" s="36"/>
      <c r="X41" s="36"/>
      <c r="Y41" s="36"/>
    </row>
    <row r="42" spans="1:25" ht="15" customHeight="1">
      <c r="A42" s="45"/>
      <c r="B42" s="45"/>
      <c r="C42" s="45"/>
      <c r="D42" s="45"/>
      <c r="E42" s="45"/>
      <c r="F42" s="45"/>
      <c r="G42" s="45"/>
      <c r="H42" s="45"/>
      <c r="I42" s="45"/>
      <c r="J42" s="45"/>
      <c r="K42" s="45"/>
      <c r="L42" s="45"/>
      <c r="M42" s="45"/>
      <c r="N42" s="45"/>
      <c r="O42" s="45"/>
      <c r="P42" s="45"/>
      <c r="Q42" s="45"/>
      <c r="R42" s="45"/>
      <c r="S42" s="45"/>
      <c r="T42" s="36"/>
      <c r="U42" s="36"/>
      <c r="V42" s="36"/>
      <c r="W42" s="36"/>
      <c r="X42" s="36"/>
      <c r="Y42" s="36" t="s">
        <v>289</v>
      </c>
    </row>
    <row r="43" spans="1:25">
      <c r="A43" s="36"/>
      <c r="B43" s="36"/>
      <c r="C43" s="36"/>
      <c r="D43" s="36"/>
      <c r="E43" s="36"/>
      <c r="F43" s="36"/>
      <c r="G43" s="36"/>
      <c r="H43" s="36"/>
      <c r="I43" s="36"/>
      <c r="J43" s="36"/>
      <c r="K43" s="36"/>
      <c r="L43" s="36"/>
      <c r="M43" s="36"/>
      <c r="N43" s="36"/>
      <c r="O43" s="36"/>
      <c r="P43" s="36"/>
      <c r="Q43" s="36"/>
      <c r="R43" s="36"/>
      <c r="S43" s="36"/>
      <c r="T43" s="36"/>
      <c r="U43" s="36"/>
      <c r="V43" s="36"/>
      <c r="W43" s="36"/>
      <c r="X43" s="36"/>
      <c r="Y43" s="36"/>
    </row>
    <row r="44" spans="1:25" ht="6.75" customHeight="1">
      <c r="A44" s="36"/>
      <c r="B44" s="44"/>
      <c r="C44" s="42"/>
      <c r="D44" s="42"/>
      <c r="E44" s="42"/>
      <c r="F44" s="42"/>
      <c r="G44" s="42"/>
      <c r="H44" s="42"/>
      <c r="I44" s="42"/>
      <c r="J44" s="42"/>
      <c r="K44" s="42"/>
      <c r="L44" s="42"/>
      <c r="M44" s="42"/>
      <c r="N44" s="42"/>
      <c r="O44" s="42"/>
      <c r="P44" s="43"/>
      <c r="Q44" s="37"/>
      <c r="R44" s="36"/>
      <c r="S44" s="36"/>
      <c r="T44" s="36"/>
      <c r="U44" s="36"/>
      <c r="V44" s="36"/>
      <c r="W44" s="36"/>
      <c r="X44" s="36"/>
      <c r="Y44" s="36"/>
    </row>
    <row r="45" spans="1:25" ht="16.5" customHeight="1">
      <c r="A45" s="36"/>
      <c r="B45" s="154" t="s">
        <v>271</v>
      </c>
      <c r="C45" s="155"/>
      <c r="D45" s="155"/>
      <c r="E45" s="155"/>
      <c r="F45" s="155"/>
      <c r="G45" s="46" t="s">
        <v>272</v>
      </c>
      <c r="H45" s="155" t="s">
        <v>273</v>
      </c>
      <c r="I45" s="155"/>
      <c r="J45" s="155"/>
      <c r="K45" s="155"/>
      <c r="L45" s="45"/>
      <c r="M45" s="45"/>
      <c r="N45" s="45"/>
      <c r="O45" s="45"/>
      <c r="P45" s="45"/>
      <c r="Q45" s="48" t="s">
        <v>293</v>
      </c>
      <c r="R45" s="36"/>
      <c r="S45" s="36"/>
      <c r="T45" s="36"/>
      <c r="U45" s="36"/>
      <c r="V45" s="36"/>
      <c r="W45" s="36"/>
      <c r="X45" s="36"/>
      <c r="Y45" s="36"/>
    </row>
    <row r="46" spans="1:25" ht="6.75" customHeight="1">
      <c r="A46" s="36"/>
      <c r="B46" s="158" t="s">
        <v>274</v>
      </c>
      <c r="C46" s="159"/>
      <c r="D46" s="159"/>
      <c r="E46" s="159"/>
      <c r="F46" s="159"/>
      <c r="G46" s="45"/>
      <c r="H46" s="160"/>
      <c r="I46" s="160"/>
      <c r="J46" s="160"/>
      <c r="K46" s="160"/>
      <c r="L46" s="45"/>
      <c r="M46" s="45"/>
      <c r="N46" s="45"/>
      <c r="O46" s="45"/>
      <c r="P46" s="45"/>
      <c r="Q46" s="47" t="s">
        <v>280</v>
      </c>
      <c r="R46" s="36"/>
      <c r="S46" s="36"/>
      <c r="T46" s="36"/>
      <c r="U46" s="36"/>
      <c r="V46" s="36"/>
      <c r="W46" s="36"/>
      <c r="X46" s="36"/>
      <c r="Y46" s="36"/>
    </row>
    <row r="47" spans="1:25">
      <c r="A47" s="36"/>
      <c r="B47" s="161" t="s">
        <v>275</v>
      </c>
      <c r="C47" s="162"/>
      <c r="D47" s="162"/>
      <c r="E47" s="162"/>
      <c r="F47" s="162"/>
      <c r="G47" s="162"/>
      <c r="H47" s="162"/>
      <c r="I47" s="162"/>
      <c r="J47" s="162"/>
      <c r="K47" s="162"/>
      <c r="L47" s="162"/>
      <c r="M47" s="162"/>
      <c r="N47" s="162"/>
      <c r="O47" s="162"/>
      <c r="P47" s="163"/>
      <c r="Q47" s="37"/>
      <c r="R47" s="36"/>
      <c r="S47" s="36"/>
      <c r="T47" s="36"/>
      <c r="U47" s="36"/>
      <c r="V47" s="36"/>
      <c r="W47" s="36"/>
      <c r="X47" s="36"/>
      <c r="Y47" s="36"/>
    </row>
    <row r="48" spans="1:25" ht="18.75" customHeight="1">
      <c r="A48" s="36"/>
      <c r="B48" s="164" t="s">
        <v>276</v>
      </c>
      <c r="C48" s="165"/>
      <c r="D48" s="165"/>
      <c r="E48" s="165"/>
      <c r="F48" s="165"/>
      <c r="G48" s="165"/>
      <c r="H48" s="165"/>
      <c r="I48" s="165"/>
      <c r="J48" s="165"/>
      <c r="K48" s="165"/>
      <c r="L48" s="165"/>
      <c r="M48" s="165"/>
      <c r="N48" s="165"/>
      <c r="O48" s="165"/>
      <c r="P48" s="36"/>
      <c r="Q48" s="41"/>
      <c r="R48" s="40"/>
      <c r="S48" s="45"/>
      <c r="T48" s="36"/>
      <c r="U48" s="36"/>
      <c r="V48" s="36"/>
      <c r="W48" s="36"/>
      <c r="X48" s="36"/>
      <c r="Y48" s="36"/>
    </row>
    <row r="49" spans="1:25" ht="13.5" customHeight="1">
      <c r="A49" s="36"/>
      <c r="B49" s="37"/>
      <c r="C49" s="36"/>
      <c r="D49" s="36"/>
      <c r="E49" s="36"/>
      <c r="F49" s="36"/>
      <c r="G49" s="36"/>
      <c r="H49" s="36"/>
      <c r="I49" s="36"/>
      <c r="J49" s="36"/>
      <c r="K49" s="36"/>
      <c r="L49" s="166" t="s">
        <v>277</v>
      </c>
      <c r="M49" s="166"/>
      <c r="N49" s="166"/>
      <c r="O49" s="166"/>
      <c r="P49" s="36"/>
      <c r="Q49" s="36"/>
      <c r="R49" s="36"/>
      <c r="S49" s="37"/>
      <c r="T49" s="36"/>
      <c r="U49" s="36"/>
      <c r="V49" s="36"/>
      <c r="W49" s="36"/>
      <c r="X49" s="36"/>
      <c r="Y49" s="36"/>
    </row>
    <row r="50" spans="1:25" ht="18">
      <c r="A50" s="36"/>
      <c r="B50" s="146" t="s">
        <v>278</v>
      </c>
      <c r="C50" s="150"/>
      <c r="D50" s="156" t="str">
        <f>'Конверт С5'!S19</f>
        <v>ИП Рукша Анна Викторовна</v>
      </c>
      <c r="E50" s="156"/>
      <c r="F50" s="156"/>
      <c r="G50" s="156"/>
      <c r="H50" s="156"/>
      <c r="I50" s="156"/>
      <c r="J50" s="156"/>
      <c r="K50" s="156"/>
      <c r="L50" s="156"/>
      <c r="M50" s="156"/>
      <c r="N50" s="156"/>
      <c r="O50" s="156"/>
      <c r="P50" s="156"/>
      <c r="Q50" s="156"/>
      <c r="R50" s="156"/>
      <c r="S50" s="37"/>
      <c r="T50" s="36"/>
      <c r="U50" s="36"/>
      <c r="V50" s="36"/>
      <c r="W50" s="36"/>
      <c r="X50" s="36"/>
      <c r="Y50" s="36"/>
    </row>
    <row r="51" spans="1:25" ht="10.5" customHeight="1">
      <c r="A51" s="36"/>
      <c r="B51" s="37"/>
      <c r="C51" s="36"/>
      <c r="D51" s="133"/>
      <c r="E51" s="133"/>
      <c r="F51" s="133"/>
      <c r="G51" s="133"/>
      <c r="H51" s="133"/>
      <c r="I51" s="133"/>
      <c r="J51" s="133"/>
      <c r="K51" s="133"/>
      <c r="L51" s="133"/>
      <c r="M51" s="133"/>
      <c r="N51" s="133"/>
      <c r="O51" s="133"/>
      <c r="P51" s="133"/>
      <c r="Q51" s="133"/>
      <c r="R51" s="133"/>
      <c r="S51" s="37"/>
      <c r="T51" s="36"/>
      <c r="U51" s="36"/>
      <c r="V51" s="36"/>
      <c r="W51" s="36"/>
      <c r="X51" s="36"/>
      <c r="Y51" s="36"/>
    </row>
    <row r="52" spans="1:25" ht="18">
      <c r="A52" s="36"/>
      <c r="B52" s="146" t="s">
        <v>279</v>
      </c>
      <c r="C52" s="150"/>
      <c r="D52" s="156" t="str">
        <f>CONCATENATE('Конверт С5'!S23,", ",'Конверт С5'!S22,'Конверт С5'!S21)</f>
        <v xml:space="preserve">Беларусь, 230005, г. Гродно, ул. Гаспадарчая, д. 11, </v>
      </c>
      <c r="E52" s="156"/>
      <c r="F52" s="156"/>
      <c r="G52" s="156"/>
      <c r="H52" s="156"/>
      <c r="I52" s="156"/>
      <c r="J52" s="156"/>
      <c r="K52" s="156"/>
      <c r="L52" s="156"/>
      <c r="M52" s="156"/>
      <c r="N52" s="156"/>
      <c r="O52" s="156"/>
      <c r="P52" s="156"/>
      <c r="Q52" s="156"/>
      <c r="R52" s="156"/>
      <c r="S52" s="37"/>
      <c r="T52" s="36"/>
      <c r="U52" s="36"/>
      <c r="V52" s="36"/>
      <c r="W52" s="36"/>
      <c r="X52" s="36"/>
      <c r="Y52" s="36"/>
    </row>
    <row r="53" spans="1:25" ht="10.5" customHeight="1">
      <c r="A53" s="36"/>
      <c r="B53" s="37"/>
      <c r="C53" s="45"/>
      <c r="D53" s="152" t="str">
        <f>'Конверт С5'!S25</f>
        <v>+375-33-6870094</v>
      </c>
      <c r="E53" s="152"/>
      <c r="F53" s="152"/>
      <c r="G53" s="152"/>
      <c r="H53" s="152"/>
      <c r="I53" s="152"/>
      <c r="J53" s="152"/>
      <c r="K53" s="152"/>
      <c r="L53" s="152"/>
      <c r="M53" s="152"/>
      <c r="N53" s="152"/>
      <c r="O53" s="152"/>
      <c r="P53" s="152"/>
      <c r="Q53" s="152"/>
      <c r="R53" s="152"/>
      <c r="S53" s="37"/>
      <c r="T53" s="36"/>
      <c r="U53" s="36"/>
      <c r="V53" s="36"/>
      <c r="W53" s="36"/>
      <c r="X53" s="36"/>
      <c r="Y53" s="36"/>
    </row>
    <row r="54" spans="1:25" ht="7.5" customHeight="1">
      <c r="A54" s="36"/>
      <c r="B54" s="41"/>
      <c r="C54" s="40"/>
      <c r="D54" s="40"/>
      <c r="E54" s="40"/>
      <c r="F54" s="40"/>
      <c r="G54" s="40"/>
      <c r="H54" s="40"/>
      <c r="I54" s="40"/>
      <c r="J54" s="40"/>
      <c r="K54" s="40"/>
      <c r="L54" s="40"/>
      <c r="M54" s="40"/>
      <c r="N54" s="40"/>
      <c r="O54" s="40"/>
      <c r="P54" s="40"/>
      <c r="Q54" s="40"/>
      <c r="R54" s="40"/>
      <c r="S54" s="37"/>
      <c r="T54" s="36"/>
      <c r="U54" s="36"/>
      <c r="V54" s="36"/>
      <c r="W54" s="36"/>
      <c r="X54" s="36"/>
      <c r="Y54" s="36"/>
    </row>
    <row r="55" spans="1:25" ht="15" customHeight="1">
      <c r="A55" s="36"/>
      <c r="B55" s="36"/>
      <c r="C55" s="36"/>
      <c r="D55" s="36"/>
      <c r="E55" s="36"/>
      <c r="F55" s="36"/>
      <c r="G55" s="36"/>
      <c r="H55" s="36"/>
      <c r="I55" s="36"/>
      <c r="J55" s="36"/>
      <c r="K55" s="36"/>
      <c r="L55" s="36"/>
      <c r="M55" s="36"/>
      <c r="N55" s="36"/>
      <c r="O55" s="36"/>
      <c r="P55" s="36"/>
      <c r="Q55" s="36"/>
      <c r="R55" s="36"/>
      <c r="S55" s="36"/>
      <c r="T55" s="36"/>
      <c r="U55" s="36"/>
      <c r="V55" s="36"/>
      <c r="W55" s="36"/>
      <c r="X55" s="36"/>
      <c r="Y55" s="36"/>
    </row>
    <row r="56" spans="1:25">
      <c r="A56" s="36"/>
      <c r="B56" s="36" t="s">
        <v>966</v>
      </c>
      <c r="C56" s="36"/>
      <c r="D56" s="36"/>
      <c r="E56" s="36"/>
      <c r="F56" s="36"/>
      <c r="G56" s="36"/>
      <c r="H56" s="36"/>
      <c r="I56" s="36"/>
      <c r="J56" s="36"/>
      <c r="K56" s="36"/>
      <c r="L56" s="36"/>
      <c r="M56" s="36"/>
      <c r="N56" s="36"/>
      <c r="O56" s="36"/>
      <c r="P56" s="36"/>
      <c r="Q56" s="36"/>
      <c r="R56" s="36"/>
      <c r="S56" s="36"/>
      <c r="T56" s="36"/>
      <c r="U56" s="36"/>
      <c r="V56" s="36"/>
      <c r="W56" s="36"/>
      <c r="X56" s="36"/>
      <c r="Y56" s="36"/>
    </row>
    <row r="57" spans="1:25" ht="6.75" customHeight="1">
      <c r="A57" s="36"/>
      <c r="B57" s="36"/>
      <c r="C57" s="36"/>
      <c r="D57" s="36"/>
      <c r="E57" s="36"/>
      <c r="F57" s="36"/>
      <c r="G57" s="36"/>
      <c r="H57" s="36"/>
      <c r="I57" s="36"/>
      <c r="J57" s="167" t="s">
        <v>281</v>
      </c>
      <c r="K57" s="167"/>
      <c r="L57" s="167"/>
      <c r="M57" s="167"/>
      <c r="N57" s="167"/>
      <c r="O57" s="167"/>
      <c r="P57" s="36"/>
      <c r="Q57" s="36"/>
      <c r="R57" s="36"/>
      <c r="S57" s="36"/>
      <c r="T57" s="36"/>
      <c r="U57" s="36"/>
      <c r="V57" s="36"/>
      <c r="W57" s="36"/>
      <c r="X57" s="36"/>
      <c r="Y57" s="36"/>
    </row>
    <row r="58" spans="1:25">
      <c r="A58" s="36"/>
      <c r="B58" s="36"/>
      <c r="C58" s="36"/>
      <c r="D58" s="36"/>
      <c r="E58" s="36"/>
      <c r="F58" s="36"/>
      <c r="G58" s="36"/>
      <c r="H58" s="36"/>
      <c r="I58" s="36"/>
      <c r="J58" s="36"/>
      <c r="K58" s="36"/>
      <c r="L58" s="36"/>
      <c r="M58" s="36"/>
      <c r="N58" s="36"/>
      <c r="O58" s="36"/>
      <c r="P58" s="36"/>
      <c r="Q58" s="36"/>
      <c r="R58" s="36"/>
      <c r="S58" s="36"/>
      <c r="T58" s="36"/>
      <c r="U58" s="36"/>
      <c r="V58" s="36"/>
      <c r="W58" s="36"/>
      <c r="X58" s="36"/>
      <c r="Y58" s="36"/>
    </row>
    <row r="59" spans="1:25">
      <c r="A59" s="36"/>
      <c r="B59" s="36"/>
      <c r="C59" s="36"/>
      <c r="D59" s="36"/>
      <c r="E59" s="36"/>
      <c r="F59" s="168" t="s">
        <v>287</v>
      </c>
      <c r="G59" s="168"/>
      <c r="H59" s="168"/>
      <c r="I59" s="168"/>
      <c r="J59" s="168"/>
      <c r="K59" s="168"/>
      <c r="L59" s="168"/>
      <c r="M59" s="168"/>
      <c r="N59" s="168"/>
      <c r="O59" s="36"/>
      <c r="P59" s="36"/>
      <c r="Q59" s="36"/>
      <c r="R59" s="36"/>
      <c r="S59" s="36"/>
      <c r="T59" s="36"/>
      <c r="U59" s="36"/>
      <c r="V59" s="36"/>
      <c r="W59" s="36"/>
      <c r="X59" s="36"/>
      <c r="Y59" s="36"/>
    </row>
    <row r="60" spans="1:25" ht="9.75" customHeight="1">
      <c r="A60" s="36"/>
      <c r="B60" s="36"/>
      <c r="C60" s="36"/>
      <c r="D60" s="36"/>
      <c r="E60" s="36"/>
      <c r="F60" s="36"/>
      <c r="G60" s="36"/>
      <c r="H60" s="36"/>
      <c r="I60" s="36"/>
      <c r="J60" s="36"/>
      <c r="K60" s="36"/>
      <c r="L60" s="36"/>
      <c r="M60" s="36"/>
      <c r="N60" s="36"/>
      <c r="O60" s="36"/>
      <c r="P60" s="36"/>
      <c r="Q60" s="36"/>
      <c r="R60" s="36"/>
      <c r="S60" s="36"/>
      <c r="T60" s="36"/>
      <c r="U60" s="36"/>
      <c r="V60" s="36"/>
      <c r="W60" s="36"/>
      <c r="X60" s="36"/>
      <c r="Y60" s="36"/>
    </row>
    <row r="61" spans="1:25" ht="9.75" customHeight="1">
      <c r="A61" s="36"/>
      <c r="B61" s="167" t="s">
        <v>284</v>
      </c>
      <c r="C61" s="167"/>
      <c r="D61" s="167"/>
      <c r="E61" s="36"/>
      <c r="F61" s="36"/>
      <c r="G61" s="36"/>
      <c r="H61" s="36"/>
      <c r="I61" s="36"/>
      <c r="J61" s="36"/>
      <c r="K61" s="36"/>
      <c r="L61" s="36"/>
      <c r="M61" s="36"/>
      <c r="N61" s="36"/>
      <c r="O61" s="36"/>
      <c r="P61" s="167" t="s">
        <v>282</v>
      </c>
      <c r="Q61" s="167"/>
      <c r="R61" s="167"/>
      <c r="S61" s="36"/>
      <c r="T61" s="36"/>
      <c r="U61" s="36"/>
      <c r="V61" s="36"/>
      <c r="W61" s="36"/>
      <c r="X61" s="36"/>
      <c r="Y61" s="36"/>
    </row>
    <row r="62" spans="1:25" ht="9.75" customHeight="1">
      <c r="A62" s="36"/>
      <c r="B62" s="167" t="s">
        <v>282</v>
      </c>
      <c r="C62" s="167"/>
      <c r="D62" s="167"/>
      <c r="E62" s="36"/>
      <c r="F62" s="36"/>
      <c r="G62" s="40"/>
      <c r="H62" s="40"/>
      <c r="I62" s="40"/>
      <c r="J62" s="40"/>
      <c r="K62" s="40"/>
      <c r="L62" s="40"/>
      <c r="M62" s="40"/>
      <c r="N62" s="36"/>
      <c r="O62" s="36"/>
      <c r="P62" s="167" t="s">
        <v>207</v>
      </c>
      <c r="Q62" s="167"/>
      <c r="R62" s="167"/>
      <c r="S62" s="36"/>
      <c r="T62" s="36"/>
      <c r="U62" s="36"/>
      <c r="V62" s="36"/>
      <c r="W62" s="36"/>
      <c r="X62" s="36"/>
      <c r="Y62" s="36"/>
    </row>
    <row r="63" spans="1:25" ht="9.75" customHeight="1">
      <c r="A63" s="36"/>
      <c r="B63" s="167" t="s">
        <v>285</v>
      </c>
      <c r="C63" s="167"/>
      <c r="D63" s="167"/>
      <c r="E63" s="36"/>
      <c r="F63" s="36"/>
      <c r="G63" s="36"/>
      <c r="H63" s="159" t="s">
        <v>288</v>
      </c>
      <c r="I63" s="159"/>
      <c r="J63" s="159"/>
      <c r="K63" s="159"/>
      <c r="L63" s="36"/>
      <c r="M63" s="36"/>
      <c r="N63" s="36"/>
      <c r="O63" s="36"/>
      <c r="P63" s="167" t="s">
        <v>283</v>
      </c>
      <c r="Q63" s="167"/>
      <c r="R63" s="167"/>
      <c r="S63" s="36"/>
      <c r="T63" s="36"/>
      <c r="U63" s="36"/>
      <c r="V63" s="36"/>
      <c r="W63" s="36"/>
      <c r="X63" s="36"/>
      <c r="Y63" s="36"/>
    </row>
    <row r="64" spans="1:25" ht="9.75" customHeight="1">
      <c r="A64" s="36"/>
      <c r="B64" s="167" t="s">
        <v>286</v>
      </c>
      <c r="C64" s="167"/>
      <c r="D64" s="167"/>
      <c r="E64" s="36"/>
      <c r="F64" s="36"/>
      <c r="G64" s="36"/>
      <c r="H64" s="36"/>
      <c r="I64" s="36"/>
      <c r="J64" s="36"/>
      <c r="K64" s="36"/>
      <c r="L64" s="36"/>
      <c r="M64" s="36"/>
      <c r="N64" s="36"/>
      <c r="O64" s="36"/>
      <c r="P64" s="133"/>
      <c r="Q64" s="133"/>
      <c r="R64" s="133"/>
      <c r="S64" s="36"/>
      <c r="T64" s="36"/>
      <c r="U64" s="36"/>
      <c r="V64" s="36"/>
      <c r="W64" s="36"/>
      <c r="X64" s="36"/>
      <c r="Y64" s="36"/>
    </row>
    <row r="65" spans="1:25">
      <c r="A65" s="36"/>
      <c r="B65" s="36"/>
      <c r="C65" s="36"/>
      <c r="D65" s="36"/>
      <c r="E65" s="36"/>
      <c r="F65" s="36"/>
      <c r="G65" s="36"/>
      <c r="H65" s="36"/>
      <c r="I65" s="36"/>
      <c r="J65" s="36"/>
      <c r="K65" s="36"/>
      <c r="L65" s="36"/>
      <c r="M65" s="36"/>
      <c r="N65" s="36"/>
      <c r="O65" s="36"/>
      <c r="P65" s="36"/>
      <c r="Q65" s="36"/>
      <c r="R65" s="36"/>
      <c r="S65" s="36"/>
      <c r="T65" s="36"/>
      <c r="U65" s="36"/>
      <c r="V65" s="36"/>
      <c r="W65" s="36"/>
      <c r="X65" s="36"/>
      <c r="Y65" s="36"/>
    </row>
    <row r="66" spans="1:25">
      <c r="A66" s="36"/>
      <c r="B66" s="36"/>
      <c r="C66" s="36"/>
      <c r="D66" s="36"/>
      <c r="E66" s="36"/>
      <c r="F66" s="36"/>
      <c r="G66" s="36"/>
      <c r="H66" s="36"/>
      <c r="I66" s="36"/>
      <c r="J66" s="36"/>
      <c r="K66" s="36"/>
      <c r="L66" s="36"/>
      <c r="M66" s="36"/>
      <c r="N66" s="36"/>
      <c r="O66" s="36"/>
      <c r="P66" s="36"/>
      <c r="Q66" s="36"/>
      <c r="R66" s="36"/>
      <c r="S66" s="36"/>
      <c r="T66" s="36"/>
      <c r="U66" s="36"/>
      <c r="V66" s="36"/>
      <c r="W66" s="36"/>
      <c r="X66" s="36"/>
      <c r="Y66" s="36"/>
    </row>
    <row r="67" spans="1:25">
      <c r="A67" s="36"/>
      <c r="B67" s="36"/>
      <c r="C67" s="36"/>
      <c r="D67" s="36"/>
      <c r="E67" s="36"/>
      <c r="F67" s="36"/>
      <c r="G67" s="36"/>
      <c r="H67" s="36"/>
      <c r="I67" s="36"/>
      <c r="J67" s="36"/>
      <c r="K67" s="36"/>
      <c r="L67" s="36"/>
      <c r="M67" s="36"/>
      <c r="N67" s="36"/>
      <c r="O67" s="36"/>
      <c r="P67" s="36"/>
      <c r="Q67" s="36"/>
      <c r="R67" s="36"/>
      <c r="S67" s="36"/>
      <c r="T67" s="36"/>
      <c r="U67" s="36"/>
      <c r="V67" s="36"/>
      <c r="W67" s="36"/>
      <c r="X67" s="36"/>
      <c r="Y67" s="36"/>
    </row>
    <row r="68" spans="1:25">
      <c r="A68" s="36"/>
      <c r="B68" s="36"/>
      <c r="C68" s="36"/>
      <c r="D68" s="36"/>
      <c r="E68" s="36"/>
      <c r="F68" s="36"/>
      <c r="G68" s="36"/>
      <c r="H68" s="36"/>
      <c r="I68" s="36"/>
      <c r="J68" s="36"/>
      <c r="K68" s="36"/>
      <c r="L68" s="36"/>
      <c r="M68" s="36"/>
      <c r="N68" s="36"/>
      <c r="O68" s="36"/>
      <c r="P68" s="36"/>
      <c r="Q68" s="36"/>
      <c r="R68" s="36"/>
      <c r="S68" s="36"/>
      <c r="T68" s="36"/>
      <c r="U68" s="36"/>
      <c r="V68" s="36"/>
      <c r="W68" s="36"/>
      <c r="X68" s="36"/>
      <c r="Y68" s="36"/>
    </row>
    <row r="69" spans="1:25">
      <c r="A69" s="36"/>
      <c r="B69" s="36"/>
      <c r="C69" s="36"/>
      <c r="D69" s="36"/>
      <c r="E69" s="36"/>
      <c r="F69" s="36"/>
      <c r="G69" s="36"/>
      <c r="H69" s="36"/>
      <c r="I69" s="36"/>
      <c r="J69" s="36"/>
      <c r="K69" s="36"/>
      <c r="L69" s="36"/>
      <c r="M69" s="36"/>
      <c r="N69" s="36"/>
      <c r="O69" s="36"/>
      <c r="P69" s="36"/>
      <c r="Q69" s="36"/>
      <c r="R69" s="36"/>
      <c r="S69" s="36"/>
      <c r="T69" s="36"/>
      <c r="U69" s="36"/>
      <c r="V69" s="36"/>
      <c r="W69" s="36"/>
      <c r="X69" s="36"/>
      <c r="Y69" s="36"/>
    </row>
    <row r="70" spans="1:25">
      <c r="A70" s="36"/>
      <c r="B70" s="36"/>
      <c r="C70" s="36"/>
      <c r="D70" s="36"/>
      <c r="E70" s="36"/>
      <c r="F70" s="36"/>
      <c r="G70" s="36"/>
      <c r="H70" s="36"/>
      <c r="I70" s="36"/>
      <c r="J70" s="36"/>
      <c r="K70" s="36"/>
      <c r="L70" s="36"/>
      <c r="M70" s="36"/>
      <c r="N70" s="36"/>
      <c r="O70" s="36"/>
      <c r="P70" s="36"/>
      <c r="Q70" s="36"/>
      <c r="R70" s="36"/>
      <c r="S70" s="36"/>
      <c r="T70" s="36"/>
      <c r="U70" s="36"/>
      <c r="V70" s="36"/>
      <c r="W70" s="36"/>
      <c r="X70" s="36"/>
      <c r="Y70" s="36"/>
    </row>
    <row r="71" spans="1:25">
      <c r="A71" s="36"/>
      <c r="B71" s="36"/>
      <c r="C71" s="36"/>
      <c r="D71" s="36"/>
      <c r="E71" s="36"/>
      <c r="F71" s="36"/>
      <c r="G71" s="36"/>
      <c r="H71" s="36"/>
      <c r="I71" s="36"/>
      <c r="J71" s="36"/>
      <c r="K71" s="36"/>
      <c r="L71" s="36"/>
      <c r="M71" s="36"/>
      <c r="N71" s="36"/>
      <c r="O71" s="36"/>
      <c r="P71" s="36"/>
      <c r="Q71" s="36"/>
      <c r="R71" s="36"/>
      <c r="S71" s="36"/>
      <c r="T71" s="36"/>
      <c r="U71" s="36"/>
      <c r="V71" s="36"/>
      <c r="W71" s="36"/>
      <c r="X71" s="36"/>
      <c r="Y71" s="36"/>
    </row>
    <row r="72" spans="1:25">
      <c r="A72" s="36"/>
      <c r="B72" s="36"/>
      <c r="C72" s="36"/>
      <c r="D72" s="36"/>
      <c r="E72" s="36"/>
      <c r="F72" s="36"/>
      <c r="G72" s="36"/>
      <c r="H72" s="36"/>
      <c r="I72" s="36"/>
      <c r="J72" s="36"/>
      <c r="K72" s="36"/>
      <c r="L72" s="36"/>
      <c r="M72" s="36"/>
      <c r="N72" s="36"/>
      <c r="O72" s="36"/>
      <c r="P72" s="36"/>
      <c r="Q72" s="36"/>
      <c r="R72" s="36"/>
      <c r="S72" s="36"/>
      <c r="T72" s="36"/>
      <c r="U72" s="36"/>
      <c r="V72" s="36"/>
      <c r="W72" s="36"/>
      <c r="X72" s="36"/>
      <c r="Y72" s="36"/>
    </row>
    <row r="73" spans="1:25">
      <c r="A73" s="36"/>
      <c r="B73" s="36"/>
      <c r="C73" s="36"/>
      <c r="D73" s="36"/>
      <c r="E73" s="36"/>
      <c r="F73" s="36"/>
      <c r="G73" s="36"/>
      <c r="H73" s="36"/>
      <c r="I73" s="36"/>
      <c r="J73" s="36"/>
      <c r="K73" s="36"/>
      <c r="L73" s="36"/>
      <c r="M73" s="36"/>
      <c r="N73" s="36"/>
      <c r="O73" s="36"/>
      <c r="P73" s="36"/>
      <c r="Q73" s="36"/>
      <c r="R73" s="36"/>
      <c r="S73" s="36"/>
      <c r="T73" s="36"/>
      <c r="U73" s="36"/>
      <c r="V73" s="36"/>
      <c r="W73" s="36"/>
      <c r="X73" s="36"/>
      <c r="Y73" s="36"/>
    </row>
    <row r="74" spans="1:25">
      <c r="A74" s="36"/>
      <c r="B74" s="36"/>
      <c r="C74" s="36"/>
      <c r="D74" s="36"/>
      <c r="E74" s="36"/>
      <c r="F74" s="36"/>
      <c r="G74" s="36"/>
      <c r="H74" s="36"/>
      <c r="I74" s="36"/>
      <c r="J74" s="36"/>
      <c r="K74" s="36"/>
      <c r="L74" s="36"/>
      <c r="M74" s="36"/>
      <c r="N74" s="36"/>
      <c r="O74" s="36"/>
      <c r="P74" s="36"/>
      <c r="Q74" s="36"/>
      <c r="R74" s="36"/>
      <c r="S74" s="36"/>
      <c r="T74" s="36"/>
      <c r="U74" s="36"/>
      <c r="V74" s="36"/>
      <c r="W74" s="36"/>
      <c r="X74" s="36"/>
      <c r="Y74" s="36"/>
    </row>
    <row r="75" spans="1:25">
      <c r="A75" s="36"/>
      <c r="B75" s="36"/>
      <c r="C75" s="36"/>
      <c r="D75" s="36"/>
      <c r="E75" s="36"/>
      <c r="F75" s="36"/>
      <c r="G75" s="36"/>
      <c r="H75" s="36"/>
      <c r="I75" s="36"/>
      <c r="J75" s="36"/>
      <c r="K75" s="36"/>
      <c r="L75" s="36"/>
      <c r="M75" s="36"/>
      <c r="N75" s="36"/>
      <c r="O75" s="36"/>
      <c r="P75" s="36"/>
      <c r="Q75" s="36"/>
      <c r="R75" s="36"/>
      <c r="S75" s="36"/>
      <c r="T75" s="36"/>
      <c r="U75" s="36"/>
      <c r="V75" s="36"/>
      <c r="W75" s="36"/>
      <c r="X75" s="36"/>
      <c r="Y75" s="36"/>
    </row>
    <row r="76" spans="1:25">
      <c r="A76" s="36"/>
      <c r="B76" s="36"/>
      <c r="C76" s="36"/>
      <c r="D76" s="36"/>
      <c r="E76" s="36"/>
      <c r="F76" s="36"/>
      <c r="G76" s="36"/>
      <c r="H76" s="36"/>
      <c r="I76" s="36"/>
      <c r="J76" s="36"/>
      <c r="K76" s="36"/>
      <c r="L76" s="36"/>
      <c r="M76" s="36"/>
      <c r="N76" s="36"/>
      <c r="O76" s="36"/>
      <c r="P76" s="36"/>
      <c r="Q76" s="36"/>
      <c r="R76" s="36"/>
      <c r="S76" s="36"/>
      <c r="T76" s="36"/>
      <c r="U76" s="36"/>
      <c r="V76" s="36"/>
      <c r="W76" s="36"/>
      <c r="X76" s="36"/>
      <c r="Y76" s="36"/>
    </row>
    <row r="77" spans="1:25">
      <c r="A77" s="36"/>
      <c r="B77" s="36"/>
      <c r="C77" s="36"/>
      <c r="D77" s="36"/>
      <c r="E77" s="36"/>
      <c r="F77" s="36"/>
      <c r="G77" s="36"/>
      <c r="H77" s="36"/>
      <c r="I77" s="36"/>
      <c r="J77" s="36"/>
      <c r="K77" s="36"/>
      <c r="L77" s="36"/>
      <c r="M77" s="36"/>
      <c r="N77" s="36"/>
      <c r="O77" s="36"/>
      <c r="P77" s="36"/>
      <c r="Q77" s="36"/>
      <c r="R77" s="36"/>
      <c r="S77" s="36"/>
      <c r="T77" s="36"/>
      <c r="U77" s="36"/>
      <c r="V77" s="36"/>
      <c r="W77" s="36"/>
      <c r="X77" s="36"/>
      <c r="Y77" s="36"/>
    </row>
    <row r="78" spans="1:25">
      <c r="A78" s="36"/>
      <c r="B78" s="36"/>
      <c r="C78" s="36"/>
      <c r="D78" s="36"/>
      <c r="E78" s="36"/>
      <c r="F78" s="36"/>
      <c r="G78" s="36"/>
      <c r="H78" s="36"/>
      <c r="I78" s="36"/>
      <c r="J78" s="36"/>
      <c r="K78" s="36"/>
      <c r="L78" s="36"/>
      <c r="M78" s="36"/>
      <c r="N78" s="36"/>
      <c r="O78" s="36"/>
      <c r="P78" s="36"/>
      <c r="Q78" s="36"/>
      <c r="R78" s="36"/>
      <c r="S78" s="36"/>
      <c r="T78" s="36"/>
      <c r="U78" s="36"/>
      <c r="V78" s="36"/>
      <c r="W78" s="36"/>
      <c r="X78" s="36"/>
      <c r="Y78" s="36"/>
    </row>
    <row r="79" spans="1:25">
      <c r="A79" s="36"/>
      <c r="B79" s="36"/>
      <c r="C79" s="36"/>
      <c r="D79" s="36"/>
      <c r="E79" s="36"/>
      <c r="F79" s="36"/>
      <c r="G79" s="36"/>
      <c r="H79" s="36"/>
      <c r="I79" s="36"/>
      <c r="J79" s="36"/>
      <c r="K79" s="36"/>
      <c r="L79" s="36"/>
      <c r="M79" s="36"/>
      <c r="N79" s="36"/>
      <c r="O79" s="36"/>
      <c r="P79" s="36"/>
      <c r="Q79" s="36"/>
      <c r="R79" s="36"/>
      <c r="S79" s="36"/>
      <c r="T79" s="36"/>
      <c r="U79" s="36"/>
      <c r="V79" s="36"/>
      <c r="W79" s="36"/>
      <c r="X79" s="36"/>
      <c r="Y79" s="36"/>
    </row>
    <row r="80" spans="1:25">
      <c r="A80" s="36"/>
      <c r="B80" s="36"/>
      <c r="C80" s="36"/>
      <c r="D80" s="36"/>
      <c r="E80" s="36"/>
      <c r="F80" s="36"/>
      <c r="G80" s="36"/>
      <c r="H80" s="36"/>
      <c r="I80" s="36"/>
      <c r="J80" s="36"/>
      <c r="K80" s="36"/>
      <c r="L80" s="36"/>
      <c r="M80" s="36"/>
      <c r="N80" s="36"/>
      <c r="O80" s="36"/>
      <c r="P80" s="36"/>
      <c r="Q80" s="36"/>
      <c r="R80" s="36"/>
      <c r="S80" s="36"/>
      <c r="T80" s="36"/>
      <c r="U80" s="36"/>
      <c r="V80" s="36"/>
      <c r="W80" s="36"/>
      <c r="X80" s="36"/>
      <c r="Y80" s="36"/>
    </row>
    <row r="81" spans="1:25">
      <c r="A81" s="36"/>
      <c r="B81" s="36"/>
      <c r="C81" s="36"/>
      <c r="D81" s="36"/>
      <c r="E81" s="36"/>
      <c r="F81" s="36"/>
      <c r="G81" s="36"/>
      <c r="H81" s="36"/>
      <c r="I81" s="36"/>
      <c r="J81" s="36"/>
      <c r="K81" s="36"/>
      <c r="L81" s="36"/>
      <c r="M81" s="36"/>
      <c r="N81" s="36"/>
      <c r="O81" s="36"/>
      <c r="P81" s="36"/>
      <c r="Q81" s="36"/>
      <c r="R81" s="36"/>
      <c r="S81" s="36"/>
      <c r="T81" s="36"/>
      <c r="U81" s="36"/>
      <c r="V81" s="36"/>
      <c r="W81" s="36"/>
      <c r="X81" s="36"/>
      <c r="Y81" s="36"/>
    </row>
    <row r="82" spans="1:25">
      <c r="A82" s="36"/>
      <c r="B82" s="36"/>
      <c r="C82" s="36"/>
      <c r="D82" s="36"/>
      <c r="E82" s="36"/>
      <c r="F82" s="36"/>
      <c r="G82" s="36"/>
      <c r="H82" s="36"/>
      <c r="I82" s="36"/>
      <c r="J82" s="36"/>
      <c r="K82" s="36"/>
      <c r="L82" s="36"/>
      <c r="M82" s="36"/>
      <c r="N82" s="36"/>
      <c r="O82" s="36"/>
      <c r="P82" s="36"/>
      <c r="Q82" s="36"/>
      <c r="R82" s="36"/>
      <c r="S82" s="36"/>
      <c r="T82" s="36"/>
      <c r="U82" s="36"/>
      <c r="V82" s="36"/>
      <c r="W82" s="36"/>
      <c r="X82" s="36"/>
      <c r="Y82" s="36"/>
    </row>
    <row r="83" spans="1:25">
      <c r="A83" s="36"/>
      <c r="B83" s="36"/>
      <c r="C83" s="36"/>
      <c r="D83" s="36"/>
      <c r="E83" s="36"/>
      <c r="F83" s="36"/>
      <c r="G83" s="36"/>
      <c r="H83" s="36"/>
      <c r="I83" s="36"/>
      <c r="J83" s="36"/>
      <c r="K83" s="36"/>
      <c r="L83" s="36"/>
      <c r="M83" s="36"/>
      <c r="N83" s="36"/>
      <c r="O83" s="36"/>
      <c r="P83" s="36"/>
      <c r="Q83" s="36"/>
      <c r="R83" s="36"/>
      <c r="S83" s="36"/>
      <c r="T83" s="36"/>
      <c r="U83" s="36"/>
      <c r="V83" s="36"/>
      <c r="W83" s="36"/>
      <c r="X83" s="36"/>
      <c r="Y83" s="36"/>
    </row>
    <row r="84" spans="1:25">
      <c r="A84" s="36"/>
      <c r="B84" s="36"/>
      <c r="C84" s="36"/>
      <c r="D84" s="36"/>
      <c r="E84" s="36"/>
      <c r="F84" s="36"/>
      <c r="G84" s="36"/>
      <c r="H84" s="36"/>
      <c r="I84" s="36"/>
      <c r="J84" s="36"/>
      <c r="K84" s="36"/>
      <c r="L84" s="36"/>
      <c r="M84" s="36"/>
      <c r="N84" s="36"/>
      <c r="O84" s="36"/>
      <c r="P84" s="36"/>
      <c r="Q84" s="36"/>
      <c r="R84" s="36"/>
      <c r="S84" s="36"/>
      <c r="T84" s="36"/>
      <c r="U84" s="36"/>
      <c r="V84" s="36"/>
      <c r="W84" s="36"/>
      <c r="X84" s="36"/>
      <c r="Y84" s="36" t="s">
        <v>290</v>
      </c>
    </row>
    <row r="85" spans="1:25">
      <c r="A85" s="36"/>
      <c r="B85" s="36"/>
      <c r="C85" s="36"/>
      <c r="D85" s="36"/>
      <c r="E85" s="36"/>
      <c r="F85" s="36"/>
      <c r="G85" s="36"/>
      <c r="H85" s="36"/>
      <c r="I85" s="36"/>
      <c r="J85" s="36"/>
      <c r="K85" s="36"/>
      <c r="L85" s="36"/>
      <c r="M85" s="36"/>
      <c r="N85" s="36"/>
      <c r="O85" s="36"/>
      <c r="P85" s="36"/>
      <c r="Q85" s="36"/>
      <c r="R85" s="36"/>
      <c r="S85" s="36"/>
      <c r="T85" s="36"/>
      <c r="U85" s="36"/>
      <c r="V85" s="36"/>
      <c r="W85" s="36"/>
      <c r="X85" s="36"/>
      <c r="Y85" s="36"/>
    </row>
    <row r="86" spans="1:25">
      <c r="A86" s="36"/>
      <c r="B86" s="36"/>
      <c r="C86" s="36"/>
      <c r="D86" s="36"/>
      <c r="E86" s="36"/>
      <c r="F86" s="36"/>
      <c r="G86" s="36"/>
      <c r="H86" s="36"/>
      <c r="I86" s="36"/>
      <c r="J86" s="36"/>
      <c r="K86" s="36"/>
      <c r="L86" s="36"/>
      <c r="M86" s="36"/>
      <c r="N86" s="36"/>
      <c r="O86" s="36"/>
      <c r="P86" s="36"/>
      <c r="Q86" s="36"/>
      <c r="R86" s="36"/>
      <c r="S86" s="36"/>
      <c r="T86" s="36"/>
      <c r="U86" s="36"/>
      <c r="V86" s="36"/>
      <c r="W86" s="36"/>
      <c r="X86" s="36"/>
      <c r="Y86" s="36"/>
    </row>
    <row r="87" spans="1:25">
      <c r="A87" s="36"/>
      <c r="B87" s="36"/>
      <c r="C87" s="36"/>
      <c r="D87" s="36"/>
      <c r="E87" s="36"/>
      <c r="F87" s="36"/>
      <c r="G87" s="36"/>
      <c r="H87" s="36"/>
      <c r="I87" s="36"/>
      <c r="J87" s="36"/>
      <c r="K87" s="36"/>
      <c r="L87" s="36"/>
      <c r="M87" s="36"/>
      <c r="N87" s="36"/>
      <c r="O87" s="36"/>
      <c r="P87" s="36"/>
      <c r="Q87" s="36"/>
      <c r="R87" s="36"/>
      <c r="S87" s="36"/>
      <c r="T87" s="36"/>
      <c r="U87" s="36"/>
      <c r="V87" s="36"/>
      <c r="W87" s="36"/>
      <c r="X87" s="36"/>
      <c r="Y87" s="36"/>
    </row>
    <row r="88" spans="1:25">
      <c r="A88" s="36"/>
      <c r="B88" s="36"/>
      <c r="C88" s="36"/>
      <c r="D88" s="36"/>
      <c r="E88" s="36"/>
      <c r="F88" s="36"/>
      <c r="G88" s="36"/>
      <c r="H88" s="36"/>
      <c r="I88" s="36"/>
      <c r="J88" s="36"/>
      <c r="K88" s="36"/>
      <c r="L88" s="36"/>
      <c r="M88" s="36"/>
      <c r="N88" s="36"/>
      <c r="O88" s="36"/>
      <c r="P88" s="36"/>
      <c r="Q88" s="36"/>
      <c r="R88" s="36"/>
      <c r="S88" s="36"/>
      <c r="T88" s="36"/>
      <c r="U88" s="36"/>
      <c r="V88" s="36"/>
      <c r="W88" s="36"/>
      <c r="X88" s="36"/>
      <c r="Y88" s="36"/>
    </row>
    <row r="89" spans="1:25">
      <c r="A89" s="36"/>
      <c r="B89" s="36"/>
      <c r="C89" s="36"/>
      <c r="D89" s="36"/>
      <c r="E89" s="36"/>
      <c r="F89" s="36"/>
      <c r="G89" s="36"/>
      <c r="H89" s="36"/>
      <c r="I89" s="36"/>
      <c r="J89" s="36"/>
      <c r="K89" s="36"/>
      <c r="L89" s="36"/>
      <c r="M89" s="36"/>
      <c r="N89" s="36"/>
      <c r="O89" s="36"/>
      <c r="P89" s="36"/>
      <c r="Q89" s="36"/>
      <c r="R89" s="36"/>
      <c r="S89" s="36"/>
      <c r="T89" s="36"/>
      <c r="U89" s="36"/>
      <c r="V89" s="36"/>
      <c r="W89" s="36"/>
      <c r="X89" s="36"/>
      <c r="Y89" s="36"/>
    </row>
    <row r="90" spans="1:25">
      <c r="A90" s="36"/>
      <c r="B90" s="36"/>
      <c r="C90" s="36"/>
      <c r="D90" s="36"/>
      <c r="E90" s="36"/>
      <c r="F90" s="36"/>
      <c r="G90" s="36"/>
      <c r="H90" s="36"/>
      <c r="I90" s="36"/>
      <c r="J90" s="36"/>
      <c r="K90" s="36"/>
      <c r="L90" s="36"/>
      <c r="M90" s="36"/>
      <c r="N90" s="36"/>
      <c r="O90" s="36"/>
      <c r="P90" s="36"/>
      <c r="Q90" s="36"/>
      <c r="R90" s="36"/>
      <c r="S90" s="36"/>
      <c r="T90" s="36"/>
      <c r="U90" s="36"/>
      <c r="V90" s="36"/>
      <c r="W90" s="36"/>
      <c r="X90" s="36"/>
      <c r="Y90" s="36"/>
    </row>
    <row r="91" spans="1:25" ht="15.75">
      <c r="A91" s="35"/>
      <c r="B91" s="35"/>
      <c r="C91" s="35"/>
      <c r="D91" s="35"/>
      <c r="E91" s="35"/>
      <c r="F91" s="35"/>
      <c r="G91" s="35"/>
      <c r="H91" s="35"/>
      <c r="I91" s="35"/>
      <c r="J91" s="35"/>
      <c r="K91" s="35"/>
      <c r="L91" s="35"/>
      <c r="M91" s="35"/>
      <c r="N91" s="35"/>
      <c r="O91" s="36"/>
      <c r="P91" s="36"/>
      <c r="Q91" s="36"/>
      <c r="R91" s="35"/>
      <c r="S91" s="35"/>
      <c r="T91" s="35"/>
      <c r="U91" s="35"/>
      <c r="V91" s="35"/>
      <c r="W91" s="35"/>
      <c r="X91" s="35"/>
      <c r="Y91" s="35"/>
    </row>
    <row r="92" spans="1:25" ht="15.75">
      <c r="A92" s="35"/>
      <c r="B92" s="35"/>
      <c r="C92" s="35"/>
      <c r="D92" s="35"/>
      <c r="E92" s="35"/>
      <c r="F92" s="35"/>
      <c r="G92" s="35"/>
      <c r="H92" s="35"/>
      <c r="I92" s="35"/>
      <c r="J92" s="35"/>
      <c r="K92" s="35"/>
      <c r="L92" s="35"/>
      <c r="M92" s="35"/>
      <c r="N92" s="35"/>
      <c r="O92" s="35"/>
      <c r="P92" s="35"/>
      <c r="Q92" s="35"/>
      <c r="R92" s="35"/>
      <c r="S92" s="35"/>
      <c r="T92" s="35"/>
      <c r="U92" s="35"/>
      <c r="V92" s="35"/>
      <c r="W92" s="35"/>
      <c r="X92" s="35"/>
      <c r="Y92" s="35"/>
    </row>
    <row r="93" spans="1:25" ht="15.75">
      <c r="A93" s="35"/>
      <c r="B93" s="35"/>
      <c r="C93" s="35"/>
      <c r="D93" s="35"/>
      <c r="E93" s="35"/>
      <c r="F93" s="35"/>
      <c r="G93" s="35"/>
      <c r="H93" s="35"/>
      <c r="I93" s="35"/>
      <c r="J93" s="35"/>
      <c r="K93" s="35"/>
      <c r="L93" s="35"/>
      <c r="M93" s="35"/>
      <c r="N93" s="35"/>
      <c r="O93" s="35"/>
      <c r="P93" s="35"/>
      <c r="Q93" s="35"/>
      <c r="R93" s="35"/>
      <c r="S93" s="35"/>
      <c r="T93" s="35"/>
      <c r="U93" s="35"/>
      <c r="V93" s="35"/>
      <c r="W93" s="35"/>
      <c r="X93" s="35"/>
      <c r="Y93" s="35"/>
    </row>
    <row r="94" spans="1:25" ht="15.75">
      <c r="A94" s="35"/>
      <c r="B94" s="35"/>
      <c r="C94" s="35"/>
      <c r="D94" s="35"/>
      <c r="E94" s="35"/>
      <c r="F94" s="35"/>
      <c r="G94" s="35"/>
      <c r="H94" s="35"/>
      <c r="I94" s="35"/>
      <c r="J94" s="35"/>
      <c r="K94" s="35"/>
      <c r="L94" s="35"/>
      <c r="M94" s="35"/>
      <c r="N94" s="35"/>
      <c r="O94" s="35"/>
      <c r="P94" s="35"/>
      <c r="Q94" s="35"/>
      <c r="R94" s="35"/>
      <c r="S94" s="35"/>
      <c r="T94" s="35"/>
      <c r="U94" s="35"/>
      <c r="V94" s="35"/>
      <c r="W94" s="35"/>
      <c r="X94" s="35"/>
      <c r="Y94" s="35"/>
    </row>
    <row r="95" spans="1:25" ht="15.75">
      <c r="O95" s="35"/>
      <c r="P95" s="35"/>
      <c r="Q95" s="35"/>
    </row>
  </sheetData>
  <mergeCells count="38">
    <mergeCell ref="B64:D64"/>
    <mergeCell ref="P64:R64"/>
    <mergeCell ref="B52:C52"/>
    <mergeCell ref="D52:R52"/>
    <mergeCell ref="D53:R53"/>
    <mergeCell ref="J57:O57"/>
    <mergeCell ref="B63:D63"/>
    <mergeCell ref="H63:K63"/>
    <mergeCell ref="P63:R63"/>
    <mergeCell ref="F59:N59"/>
    <mergeCell ref="B61:D61"/>
    <mergeCell ref="P61:R61"/>
    <mergeCell ref="B62:D62"/>
    <mergeCell ref="P62:R62"/>
    <mergeCell ref="L15:W15"/>
    <mergeCell ref="D51:R51"/>
    <mergeCell ref="U20:W20"/>
    <mergeCell ref="U21:W21"/>
    <mergeCell ref="U22:W22"/>
    <mergeCell ref="B45:F45"/>
    <mergeCell ref="H45:K45"/>
    <mergeCell ref="B46:F46"/>
    <mergeCell ref="H46:K46"/>
    <mergeCell ref="B47:P47"/>
    <mergeCell ref="L16:W16"/>
    <mergeCell ref="B48:O48"/>
    <mergeCell ref="L49:O49"/>
    <mergeCell ref="B50:C50"/>
    <mergeCell ref="D50:R50"/>
    <mergeCell ref="L11:W11"/>
    <mergeCell ref="J13:K13"/>
    <mergeCell ref="L13:W13"/>
    <mergeCell ref="L14:W14"/>
    <mergeCell ref="S3:X3"/>
    <mergeCell ref="K6:X6"/>
    <mergeCell ref="K8:X8"/>
    <mergeCell ref="J10:K10"/>
    <mergeCell ref="L10:W10"/>
  </mergeCells>
  <printOptions horizontalCentered="1" verticalCentered="1"/>
  <pageMargins left="3.937007874015748E-2" right="3.937007874015748E-2" top="3.937007874015748E-2" bottom="3.937007874015748E-2" header="1.968503937007874E-2" footer="1.968503937007874E-2"/>
  <pageSetup paperSize="9" orientation="landscape" horizontalDpi="4294967293"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1"/>
  <dimension ref="A2:AL46"/>
  <sheetViews>
    <sheetView workbookViewId="0">
      <selection activeCell="AL3" sqref="AL3"/>
    </sheetView>
  </sheetViews>
  <sheetFormatPr defaultRowHeight="11.25"/>
  <cols>
    <col min="1" max="1" width="4.85546875" style="17" customWidth="1"/>
    <col min="2" max="2" width="7.140625" style="17" customWidth="1"/>
    <col min="3" max="3" width="4.28515625" style="17" customWidth="1"/>
    <col min="4" max="4" width="10.85546875" style="17" customWidth="1"/>
    <col min="5" max="5" width="4.7109375" style="17" customWidth="1"/>
    <col min="6" max="6" width="7.42578125" style="17" customWidth="1"/>
    <col min="7" max="7" width="4.42578125" style="17" customWidth="1"/>
    <col min="8" max="9" width="3.7109375" style="17" customWidth="1"/>
    <col min="10" max="10" width="11.5703125" style="17" customWidth="1"/>
    <col min="11" max="11" width="3.7109375" style="17" customWidth="1"/>
    <col min="12" max="12" width="18.140625" style="17" customWidth="1"/>
    <col min="13" max="13" width="7.7109375" style="17" customWidth="1"/>
    <col min="14" max="16" width="4.42578125" style="17" customWidth="1"/>
    <col min="17" max="17" width="2.42578125" style="17" customWidth="1"/>
    <col min="18" max="18" width="5.5703125" style="17" customWidth="1"/>
    <col min="19" max="19" width="5.7109375" style="17" customWidth="1"/>
    <col min="20" max="20" width="4.7109375" style="17" customWidth="1"/>
    <col min="21" max="23" width="4.42578125" style="17" customWidth="1"/>
    <col min="24" max="24" width="4.85546875" style="17" customWidth="1"/>
    <col min="25" max="26" width="5.42578125" style="17" customWidth="1"/>
    <col min="27" max="27" width="5.140625" style="17" customWidth="1"/>
    <col min="28" max="28" width="3.42578125" style="17" customWidth="1"/>
    <col min="29" max="29" width="4.42578125" style="17" customWidth="1"/>
    <col min="30" max="30" width="3.7109375" style="17" customWidth="1"/>
    <col min="31" max="31" width="3.42578125" style="17" customWidth="1"/>
    <col min="32" max="34" width="3.7109375" style="17" customWidth="1"/>
    <col min="35" max="35" width="25.28515625" style="17" customWidth="1"/>
    <col min="36" max="36" width="47.42578125" style="17" customWidth="1"/>
    <col min="37" max="37" width="39" style="17" customWidth="1"/>
    <col min="38" max="38" width="9.85546875" style="17" customWidth="1"/>
    <col min="39" max="46" width="3.7109375" style="17" customWidth="1"/>
    <col min="47" max="16384" width="9.140625" style="17"/>
  </cols>
  <sheetData>
    <row r="2" spans="1:38">
      <c r="B2" s="17">
        <v>2</v>
      </c>
      <c r="C2" s="17">
        <f t="shared" ref="C2:N2" si="0">B2+1</f>
        <v>3</v>
      </c>
      <c r="D2" s="17">
        <f t="shared" si="0"/>
        <v>4</v>
      </c>
      <c r="E2" s="17">
        <f t="shared" si="0"/>
        <v>5</v>
      </c>
      <c r="F2" s="17">
        <f t="shared" si="0"/>
        <v>6</v>
      </c>
      <c r="G2" s="17">
        <f t="shared" si="0"/>
        <v>7</v>
      </c>
      <c r="H2" s="17">
        <f t="shared" si="0"/>
        <v>8</v>
      </c>
      <c r="I2" s="17">
        <f t="shared" si="0"/>
        <v>9</v>
      </c>
      <c r="J2" s="17">
        <f t="shared" si="0"/>
        <v>10</v>
      </c>
      <c r="K2" s="17">
        <f t="shared" si="0"/>
        <v>11</v>
      </c>
      <c r="L2" s="17">
        <f t="shared" si="0"/>
        <v>12</v>
      </c>
      <c r="M2" s="17">
        <f t="shared" si="0"/>
        <v>13</v>
      </c>
      <c r="N2" s="17">
        <f t="shared" si="0"/>
        <v>14</v>
      </c>
      <c r="R2" s="17">
        <f>N2+1</f>
        <v>15</v>
      </c>
      <c r="S2" s="17">
        <f t="shared" ref="S2:AL2" si="1">R2+1</f>
        <v>16</v>
      </c>
      <c r="T2" s="17">
        <f t="shared" si="1"/>
        <v>17</v>
      </c>
      <c r="U2" s="17">
        <f t="shared" si="1"/>
        <v>18</v>
      </c>
      <c r="V2" s="17">
        <f t="shared" si="1"/>
        <v>19</v>
      </c>
      <c r="W2" s="17">
        <f t="shared" si="1"/>
        <v>20</v>
      </c>
      <c r="X2" s="17">
        <f t="shared" si="1"/>
        <v>21</v>
      </c>
      <c r="Y2" s="17">
        <f t="shared" si="1"/>
        <v>22</v>
      </c>
      <c r="Z2" s="17">
        <f t="shared" si="1"/>
        <v>23</v>
      </c>
      <c r="AA2" s="17">
        <f t="shared" si="1"/>
        <v>24</v>
      </c>
      <c r="AB2" s="17">
        <f t="shared" si="1"/>
        <v>25</v>
      </c>
      <c r="AC2" s="17">
        <f t="shared" si="1"/>
        <v>26</v>
      </c>
      <c r="AD2" s="17">
        <f t="shared" si="1"/>
        <v>27</v>
      </c>
      <c r="AE2" s="17">
        <f t="shared" si="1"/>
        <v>28</v>
      </c>
      <c r="AF2" s="17">
        <f t="shared" si="1"/>
        <v>29</v>
      </c>
      <c r="AG2" s="17">
        <f t="shared" si="1"/>
        <v>30</v>
      </c>
      <c r="AH2" s="17">
        <f t="shared" si="1"/>
        <v>31</v>
      </c>
      <c r="AI2" s="17">
        <f t="shared" si="1"/>
        <v>32</v>
      </c>
      <c r="AJ2" s="17">
        <f t="shared" si="1"/>
        <v>33</v>
      </c>
      <c r="AK2" s="17">
        <f t="shared" si="1"/>
        <v>34</v>
      </c>
      <c r="AL2" s="17">
        <f t="shared" si="1"/>
        <v>35</v>
      </c>
    </row>
    <row r="3" spans="1:38">
      <c r="A3" s="17">
        <v>1</v>
      </c>
      <c r="B3" s="18">
        <f>Счет!F20</f>
        <v>26.76</v>
      </c>
      <c r="C3" s="19">
        <f t="shared" ref="C3:C24" si="2">TRUNC(B3/1000000)</f>
        <v>0</v>
      </c>
      <c r="D3" s="17">
        <f t="shared" ref="D3:D24" si="3">TRUNC(C3/100)</f>
        <v>0</v>
      </c>
      <c r="E3" s="17" t="str">
        <f t="shared" ref="E3:E24" si="4">IF(D3&gt;0,VLOOKUP(D3,$A$28:$I$188,2),"")</f>
        <v/>
      </c>
      <c r="F3" s="19">
        <f t="shared" ref="F3:F24" si="5">C3-D3*100</f>
        <v>0</v>
      </c>
      <c r="G3" s="17">
        <f t="shared" ref="G3:G24" si="6">TRUNC(F3/10)</f>
        <v>0</v>
      </c>
      <c r="H3" s="17">
        <f t="shared" ref="H3:H24" si="7">IF(J3&gt;10,"",VLOOKUP(G3,$A$28:$I$188,3,FALSE))</f>
        <v>0</v>
      </c>
      <c r="I3" s="19">
        <f t="shared" ref="I3:I24" si="8">F3-G3*10</f>
        <v>0</v>
      </c>
      <c r="J3" s="17">
        <f t="shared" ref="J3:J24" si="9">IF(AND(G3=1,I3&gt;0),I3+10,I3)</f>
        <v>0</v>
      </c>
      <c r="K3" s="17" t="str">
        <f t="shared" ref="K3:K24" si="10">IF(J3&gt;0,VLOOKUP(J3,$A$28:$I$188,4),"")</f>
        <v/>
      </c>
      <c r="L3" s="17" t="str">
        <f t="shared" ref="L3:L24" si="11">CONCATENATE(T(E3),T(H3),T(K3),IF(J3&gt;0,VLOOKUP(J3,$A$28:$I$188,6),IF(OR(D3&gt;0,F3&gt;0)," миллионов","")))</f>
        <v/>
      </c>
      <c r="M3" s="17">
        <f t="shared" ref="M3:M24" si="12">B3-C3*1000000</f>
        <v>26.76</v>
      </c>
      <c r="N3" s="19">
        <f t="shared" ref="N3:N24" si="13">TRUNC(M3/1000)</f>
        <v>0</v>
      </c>
      <c r="O3" s="20"/>
      <c r="P3" s="20"/>
      <c r="Q3" s="20"/>
      <c r="R3" s="17">
        <f t="shared" ref="R3:R24" si="14">TRUNC(N3/100)</f>
        <v>0</v>
      </c>
      <c r="S3" s="17">
        <f t="shared" ref="S3:S24" si="15">VLOOKUP(R3,$A$28:$F$188,2)</f>
        <v>0</v>
      </c>
      <c r="T3" s="19">
        <f t="shared" ref="T3:T24" si="16">N3-R3*100</f>
        <v>0</v>
      </c>
      <c r="U3" s="17">
        <f t="shared" ref="U3:U24" si="17">TRUNC(T3/10)</f>
        <v>0</v>
      </c>
      <c r="V3" s="17">
        <f t="shared" ref="V3:V24" si="18">IF(X3&gt;10,"",VLOOKUP(U3,$A$28:$F$188,3))</f>
        <v>0</v>
      </c>
      <c r="W3" s="19">
        <f t="shared" ref="W3:W24" si="19">T3-U3*10</f>
        <v>0</v>
      </c>
      <c r="X3" s="17">
        <f t="shared" ref="X3:X24" si="20">IF(AND(U3=1,W3&gt;0),W3+10,W3)</f>
        <v>0</v>
      </c>
      <c r="Y3" s="17" t="str">
        <f t="shared" ref="Y3:Y24" si="21">IF(X3&gt;0,VLOOKUP(X3,$A$28:$E$188,5),"")</f>
        <v/>
      </c>
      <c r="Z3" s="17" t="str">
        <f t="shared" ref="Z3:Z24" si="22">CONCATENATE(T(S3),T(V3),T(Y3),IF(X3&gt;0,VLOOKUP(X3,$A$28:$I$188,7),IF(OR(S3&gt;0,V3&gt;0)," тысяч","")))</f>
        <v/>
      </c>
      <c r="AA3" s="19">
        <f t="shared" ref="AA3:AA24" si="23">M3-N3*1000</f>
        <v>26.76</v>
      </c>
      <c r="AB3" s="17">
        <f t="shared" ref="AB3:AB24" si="24">TRUNC(AA3/100)</f>
        <v>0</v>
      </c>
      <c r="AC3" s="17">
        <f t="shared" ref="AC3:AC24" si="25">VLOOKUP(AB3,$A$28:$F$188,2)</f>
        <v>0</v>
      </c>
      <c r="AD3" s="19">
        <f t="shared" ref="AD3:AD24" si="26">AA3-AB3*100</f>
        <v>26.76</v>
      </c>
      <c r="AE3" s="17">
        <f t="shared" ref="AE3:AE24" si="27">TRUNC(AD3/10)</f>
        <v>2</v>
      </c>
      <c r="AF3" s="17" t="str">
        <f t="shared" ref="AF3:AF24" si="28">IF(AH3&gt;10,"",VLOOKUP(AE3,$A$28:$F$188,3))</f>
        <v xml:space="preserve"> двадцать</v>
      </c>
      <c r="AG3" s="19">
        <f t="shared" ref="AG3:AG24" si="29">AD3-AE3*10</f>
        <v>6.7600000000000016</v>
      </c>
      <c r="AH3" s="17">
        <f t="shared" ref="AH3:AH24" si="30">IF(AND(AE3=1,AG3&gt;0),AG3+10,AG3)</f>
        <v>6.7600000000000016</v>
      </c>
      <c r="AI3" s="17" t="e">
        <f t="shared" ref="AI3:AI24" si="31">IF(AH3&gt;0,VLOOKUP(AH3,$A$28:$I$188,4,FALSE),"")</f>
        <v>#N/A</v>
      </c>
      <c r="AJ3" s="17" t="e">
        <f>CONCATENATE(T(AC3),T(AF3),T(AI3),IF(AH3&gt;0,VLOOKUP(AH3,$A$28:$I$188,8),))</f>
        <v>#N/A</v>
      </c>
      <c r="AK3" s="17" t="e">
        <f t="shared" ref="AK3:AK24" si="32">TRIM(CONCATENATE(L3,Z3,AJ3))</f>
        <v>#N/A</v>
      </c>
      <c r="AL3" s="17" t="e">
        <f t="shared" ref="AL3:AL24" si="33">REPLACE(AK3,1,1,PROPER(LEFT(AK3,1)))</f>
        <v>#N/A</v>
      </c>
    </row>
    <row r="4" spans="1:38">
      <c r="A4" s="17">
        <v>1.1000000000000001</v>
      </c>
      <c r="B4" s="18">
        <f>Счет!G20</f>
        <v>160.58000000000001</v>
      </c>
      <c r="C4" s="19">
        <f t="shared" si="2"/>
        <v>0</v>
      </c>
      <c r="D4" s="17">
        <f t="shared" si="3"/>
        <v>0</v>
      </c>
      <c r="E4" s="17" t="str">
        <f t="shared" si="4"/>
        <v/>
      </c>
      <c r="F4" s="19">
        <f t="shared" si="5"/>
        <v>0</v>
      </c>
      <c r="G4" s="17">
        <f t="shared" si="6"/>
        <v>0</v>
      </c>
      <c r="H4" s="17">
        <f t="shared" si="7"/>
        <v>0</v>
      </c>
      <c r="I4" s="19">
        <f t="shared" si="8"/>
        <v>0</v>
      </c>
      <c r="J4" s="17">
        <f t="shared" si="9"/>
        <v>0</v>
      </c>
      <c r="K4" s="17" t="str">
        <f t="shared" si="10"/>
        <v/>
      </c>
      <c r="L4" s="17" t="str">
        <f t="shared" si="11"/>
        <v/>
      </c>
      <c r="M4" s="17">
        <f t="shared" si="12"/>
        <v>160.58000000000001</v>
      </c>
      <c r="N4" s="19">
        <f t="shared" si="13"/>
        <v>0</v>
      </c>
      <c r="O4" s="20"/>
      <c r="P4" s="20"/>
      <c r="Q4" s="20"/>
      <c r="R4" s="17">
        <f t="shared" si="14"/>
        <v>0</v>
      </c>
      <c r="S4" s="17">
        <f t="shared" si="15"/>
        <v>0</v>
      </c>
      <c r="T4" s="19">
        <f t="shared" si="16"/>
        <v>0</v>
      </c>
      <c r="U4" s="17">
        <f t="shared" si="17"/>
        <v>0</v>
      </c>
      <c r="V4" s="17">
        <f t="shared" si="18"/>
        <v>0</v>
      </c>
      <c r="W4" s="19">
        <f t="shared" si="19"/>
        <v>0</v>
      </c>
      <c r="X4" s="17">
        <f t="shared" si="20"/>
        <v>0</v>
      </c>
      <c r="Y4" s="17" t="str">
        <f t="shared" si="21"/>
        <v/>
      </c>
      <c r="Z4" s="17" t="str">
        <f t="shared" si="22"/>
        <v/>
      </c>
      <c r="AA4" s="19">
        <f t="shared" si="23"/>
        <v>160.58000000000001</v>
      </c>
      <c r="AB4" s="17">
        <f t="shared" si="24"/>
        <v>1</v>
      </c>
      <c r="AC4" s="17" t="str">
        <f t="shared" si="25"/>
        <v xml:space="preserve"> сто</v>
      </c>
      <c r="AD4" s="19">
        <f t="shared" si="26"/>
        <v>60.580000000000013</v>
      </c>
      <c r="AE4" s="17">
        <f t="shared" si="27"/>
        <v>6</v>
      </c>
      <c r="AF4" s="17" t="str">
        <f t="shared" si="28"/>
        <v xml:space="preserve"> шестьдесят</v>
      </c>
      <c r="AG4" s="19">
        <f t="shared" si="29"/>
        <v>0.58000000000001251</v>
      </c>
      <c r="AH4" s="17">
        <f t="shared" si="30"/>
        <v>0.58000000000001251</v>
      </c>
      <c r="AI4" s="17" t="e">
        <f t="shared" si="31"/>
        <v>#N/A</v>
      </c>
      <c r="AJ4" s="17" t="e">
        <f>CONCATENATE(T(AC4),T(AF4),T(AI4),IF(AH4&gt;0,VLOOKUP(AH4,$A$28:$I$188,8),"  "))</f>
        <v>#N/A</v>
      </c>
      <c r="AK4" s="17" t="e">
        <f t="shared" si="32"/>
        <v>#N/A</v>
      </c>
      <c r="AL4" s="17" t="e">
        <f t="shared" si="33"/>
        <v>#N/A</v>
      </c>
    </row>
    <row r="5" spans="1:38">
      <c r="A5" s="17">
        <v>2</v>
      </c>
      <c r="B5" s="18"/>
      <c r="C5" s="19">
        <f t="shared" si="2"/>
        <v>0</v>
      </c>
      <c r="D5" s="17">
        <f t="shared" si="3"/>
        <v>0</v>
      </c>
      <c r="E5" s="17" t="str">
        <f t="shared" si="4"/>
        <v/>
      </c>
      <c r="F5" s="19">
        <f t="shared" si="5"/>
        <v>0</v>
      </c>
      <c r="G5" s="17">
        <f t="shared" si="6"/>
        <v>0</v>
      </c>
      <c r="H5" s="17">
        <f t="shared" si="7"/>
        <v>0</v>
      </c>
      <c r="I5" s="19">
        <f t="shared" si="8"/>
        <v>0</v>
      </c>
      <c r="J5" s="17">
        <f t="shared" si="9"/>
        <v>0</v>
      </c>
      <c r="K5" s="17" t="str">
        <f t="shared" si="10"/>
        <v/>
      </c>
      <c r="L5" s="17" t="str">
        <f t="shared" si="11"/>
        <v/>
      </c>
      <c r="M5" s="17">
        <f t="shared" si="12"/>
        <v>0</v>
      </c>
      <c r="N5" s="19">
        <f t="shared" si="13"/>
        <v>0</v>
      </c>
      <c r="O5" s="20"/>
      <c r="P5" s="20"/>
      <c r="Q5" s="20"/>
      <c r="R5" s="17">
        <f t="shared" si="14"/>
        <v>0</v>
      </c>
      <c r="S5" s="17">
        <f t="shared" si="15"/>
        <v>0</v>
      </c>
      <c r="T5" s="19">
        <f t="shared" si="16"/>
        <v>0</v>
      </c>
      <c r="U5" s="17">
        <f t="shared" si="17"/>
        <v>0</v>
      </c>
      <c r="V5" s="17">
        <f t="shared" si="18"/>
        <v>0</v>
      </c>
      <c r="W5" s="19">
        <f t="shared" si="19"/>
        <v>0</v>
      </c>
      <c r="X5" s="17">
        <f t="shared" si="20"/>
        <v>0</v>
      </c>
      <c r="Y5" s="17" t="str">
        <f t="shared" si="21"/>
        <v/>
      </c>
      <c r="Z5" s="17" t="str">
        <f t="shared" si="22"/>
        <v/>
      </c>
      <c r="AA5" s="19">
        <f t="shared" si="23"/>
        <v>0</v>
      </c>
      <c r="AB5" s="17">
        <f t="shared" si="24"/>
        <v>0</v>
      </c>
      <c r="AC5" s="17">
        <f t="shared" si="25"/>
        <v>0</v>
      </c>
      <c r="AD5" s="19">
        <f t="shared" si="26"/>
        <v>0</v>
      </c>
      <c r="AE5" s="17">
        <f t="shared" si="27"/>
        <v>0</v>
      </c>
      <c r="AF5" s="17">
        <f t="shared" si="28"/>
        <v>0</v>
      </c>
      <c r="AG5" s="19">
        <f t="shared" si="29"/>
        <v>0</v>
      </c>
      <c r="AH5" s="17">
        <f t="shared" si="30"/>
        <v>0</v>
      </c>
      <c r="AI5" s="17" t="str">
        <f t="shared" si="31"/>
        <v/>
      </c>
      <c r="AJ5" s="17" t="str">
        <f>CONCATENATE(T(AC5),T(AF5),T(AI5),") ",IF(AH5&gt;0,VLOOKUP(AH5,$A$28:$I$188,8),"  "))</f>
        <v xml:space="preserve">)   </v>
      </c>
      <c r="AK5" s="17" t="str">
        <f t="shared" si="32"/>
        <v>)</v>
      </c>
      <c r="AL5" s="17" t="str">
        <f>CONCATENATE("(",REPLACE(AK5,1,1,PROPER(LEFT(AK5,1))))</f>
        <v>()</v>
      </c>
    </row>
    <row r="6" spans="1:38">
      <c r="A6" s="17">
        <v>2.1</v>
      </c>
      <c r="B6" s="18"/>
      <c r="C6" s="19">
        <f t="shared" si="2"/>
        <v>0</v>
      </c>
      <c r="D6" s="17">
        <f t="shared" si="3"/>
        <v>0</v>
      </c>
      <c r="E6" s="17" t="str">
        <f t="shared" si="4"/>
        <v/>
      </c>
      <c r="F6" s="19">
        <f t="shared" si="5"/>
        <v>0</v>
      </c>
      <c r="G6" s="17">
        <f t="shared" si="6"/>
        <v>0</v>
      </c>
      <c r="H6" s="17">
        <f t="shared" si="7"/>
        <v>0</v>
      </c>
      <c r="I6" s="19">
        <f t="shared" si="8"/>
        <v>0</v>
      </c>
      <c r="J6" s="17">
        <f t="shared" si="9"/>
        <v>0</v>
      </c>
      <c r="K6" s="17" t="str">
        <f t="shared" si="10"/>
        <v/>
      </c>
      <c r="L6" s="17" t="str">
        <f t="shared" si="11"/>
        <v/>
      </c>
      <c r="M6" s="17">
        <f t="shared" si="12"/>
        <v>0</v>
      </c>
      <c r="N6" s="19">
        <f t="shared" si="13"/>
        <v>0</v>
      </c>
      <c r="O6" s="20"/>
      <c r="P6" s="20"/>
      <c r="Q6" s="20"/>
      <c r="R6" s="17">
        <f t="shared" si="14"/>
        <v>0</v>
      </c>
      <c r="S6" s="17">
        <f t="shared" si="15"/>
        <v>0</v>
      </c>
      <c r="T6" s="19">
        <f t="shared" si="16"/>
        <v>0</v>
      </c>
      <c r="U6" s="17">
        <f t="shared" si="17"/>
        <v>0</v>
      </c>
      <c r="V6" s="17">
        <f t="shared" si="18"/>
        <v>0</v>
      </c>
      <c r="W6" s="19">
        <f t="shared" si="19"/>
        <v>0</v>
      </c>
      <c r="X6" s="17">
        <f t="shared" si="20"/>
        <v>0</v>
      </c>
      <c r="Y6" s="17" t="str">
        <f t="shared" si="21"/>
        <v/>
      </c>
      <c r="Z6" s="17" t="str">
        <f t="shared" si="22"/>
        <v/>
      </c>
      <c r="AA6" s="19">
        <f t="shared" si="23"/>
        <v>0</v>
      </c>
      <c r="AB6" s="17">
        <f t="shared" si="24"/>
        <v>0</v>
      </c>
      <c r="AC6" s="17">
        <f t="shared" si="25"/>
        <v>0</v>
      </c>
      <c r="AD6" s="19">
        <f t="shared" si="26"/>
        <v>0</v>
      </c>
      <c r="AE6" s="17">
        <f t="shared" si="27"/>
        <v>0</v>
      </c>
      <c r="AF6" s="17">
        <f t="shared" si="28"/>
        <v>0</v>
      </c>
      <c r="AG6" s="19">
        <f t="shared" si="29"/>
        <v>0</v>
      </c>
      <c r="AH6" s="17">
        <f t="shared" si="30"/>
        <v>0</v>
      </c>
      <c r="AI6" s="17" t="str">
        <f t="shared" si="31"/>
        <v/>
      </c>
      <c r="AJ6" s="17" t="str">
        <f t="shared" ref="AJ6:AJ24" si="34">CONCATENATE(T(AC6),T(AF6),T(AI6),IF(AH6&gt;0,VLOOKUP(AH6,$A$28:$I$188,8),"  "))</f>
        <v xml:space="preserve">  </v>
      </c>
      <c r="AK6" s="17" t="str">
        <f t="shared" si="32"/>
        <v/>
      </c>
      <c r="AL6" s="17" t="str">
        <f t="shared" si="33"/>
        <v/>
      </c>
    </row>
    <row r="7" spans="1:38">
      <c r="A7" s="17">
        <v>3</v>
      </c>
      <c r="B7" s="18"/>
      <c r="C7" s="19">
        <f t="shared" si="2"/>
        <v>0</v>
      </c>
      <c r="D7" s="17">
        <f t="shared" si="3"/>
        <v>0</v>
      </c>
      <c r="E7" s="17" t="str">
        <f t="shared" si="4"/>
        <v/>
      </c>
      <c r="F7" s="19">
        <f t="shared" si="5"/>
        <v>0</v>
      </c>
      <c r="G7" s="17">
        <f t="shared" si="6"/>
        <v>0</v>
      </c>
      <c r="H7" s="17">
        <f t="shared" si="7"/>
        <v>0</v>
      </c>
      <c r="I7" s="19">
        <f t="shared" si="8"/>
        <v>0</v>
      </c>
      <c r="J7" s="17">
        <f t="shared" si="9"/>
        <v>0</v>
      </c>
      <c r="K7" s="17" t="str">
        <f t="shared" si="10"/>
        <v/>
      </c>
      <c r="L7" s="17" t="str">
        <f t="shared" si="11"/>
        <v/>
      </c>
      <c r="M7" s="17">
        <f t="shared" si="12"/>
        <v>0</v>
      </c>
      <c r="N7" s="19">
        <f t="shared" si="13"/>
        <v>0</v>
      </c>
      <c r="O7" s="20"/>
      <c r="P7" s="20"/>
      <c r="Q7" s="20"/>
      <c r="R7" s="17">
        <f t="shared" si="14"/>
        <v>0</v>
      </c>
      <c r="S7" s="17">
        <f t="shared" si="15"/>
        <v>0</v>
      </c>
      <c r="T7" s="19">
        <f t="shared" si="16"/>
        <v>0</v>
      </c>
      <c r="U7" s="17">
        <f t="shared" si="17"/>
        <v>0</v>
      </c>
      <c r="V7" s="17">
        <f t="shared" si="18"/>
        <v>0</v>
      </c>
      <c r="W7" s="19">
        <f t="shared" si="19"/>
        <v>0</v>
      </c>
      <c r="X7" s="17">
        <f t="shared" si="20"/>
        <v>0</v>
      </c>
      <c r="Y7" s="17" t="str">
        <f t="shared" si="21"/>
        <v/>
      </c>
      <c r="Z7" s="17" t="str">
        <f t="shared" si="22"/>
        <v/>
      </c>
      <c r="AA7" s="19">
        <f t="shared" si="23"/>
        <v>0</v>
      </c>
      <c r="AB7" s="17">
        <f t="shared" si="24"/>
        <v>0</v>
      </c>
      <c r="AC7" s="17">
        <f t="shared" si="25"/>
        <v>0</v>
      </c>
      <c r="AD7" s="19">
        <f t="shared" si="26"/>
        <v>0</v>
      </c>
      <c r="AE7" s="17">
        <f t="shared" si="27"/>
        <v>0</v>
      </c>
      <c r="AF7" s="17">
        <f t="shared" si="28"/>
        <v>0</v>
      </c>
      <c r="AG7" s="19">
        <f t="shared" si="29"/>
        <v>0</v>
      </c>
      <c r="AH7" s="17">
        <f t="shared" si="30"/>
        <v>0</v>
      </c>
      <c r="AI7" s="17" t="str">
        <f t="shared" si="31"/>
        <v/>
      </c>
      <c r="AJ7" s="17" t="str">
        <f t="shared" si="34"/>
        <v xml:space="preserve">  </v>
      </c>
      <c r="AK7" s="17" t="str">
        <f t="shared" si="32"/>
        <v/>
      </c>
      <c r="AL7" s="17" t="str">
        <f t="shared" si="33"/>
        <v/>
      </c>
    </row>
    <row r="8" spans="1:38">
      <c r="A8" s="17">
        <v>3.1</v>
      </c>
      <c r="B8" s="18"/>
      <c r="C8" s="19">
        <f t="shared" si="2"/>
        <v>0</v>
      </c>
      <c r="D8" s="17">
        <f t="shared" si="3"/>
        <v>0</v>
      </c>
      <c r="E8" s="17" t="str">
        <f t="shared" si="4"/>
        <v/>
      </c>
      <c r="F8" s="19">
        <f t="shared" si="5"/>
        <v>0</v>
      </c>
      <c r="G8" s="17">
        <f t="shared" si="6"/>
        <v>0</v>
      </c>
      <c r="H8" s="17">
        <f t="shared" si="7"/>
        <v>0</v>
      </c>
      <c r="I8" s="19">
        <f t="shared" si="8"/>
        <v>0</v>
      </c>
      <c r="J8" s="17">
        <f t="shared" si="9"/>
        <v>0</v>
      </c>
      <c r="K8" s="17" t="str">
        <f t="shared" si="10"/>
        <v/>
      </c>
      <c r="L8" s="17" t="str">
        <f t="shared" si="11"/>
        <v/>
      </c>
      <c r="M8" s="17">
        <f t="shared" si="12"/>
        <v>0</v>
      </c>
      <c r="N8" s="19">
        <f t="shared" si="13"/>
        <v>0</v>
      </c>
      <c r="O8" s="20"/>
      <c r="P8" s="20"/>
      <c r="Q8" s="20"/>
      <c r="R8" s="17">
        <f t="shared" si="14"/>
        <v>0</v>
      </c>
      <c r="S8" s="17">
        <f t="shared" si="15"/>
        <v>0</v>
      </c>
      <c r="T8" s="19">
        <f t="shared" si="16"/>
        <v>0</v>
      </c>
      <c r="U8" s="17">
        <f t="shared" si="17"/>
        <v>0</v>
      </c>
      <c r="V8" s="17">
        <f t="shared" si="18"/>
        <v>0</v>
      </c>
      <c r="W8" s="19">
        <f t="shared" si="19"/>
        <v>0</v>
      </c>
      <c r="X8" s="17">
        <f t="shared" si="20"/>
        <v>0</v>
      </c>
      <c r="Y8" s="17" t="str">
        <f t="shared" si="21"/>
        <v/>
      </c>
      <c r="Z8" s="17" t="str">
        <f t="shared" si="22"/>
        <v/>
      </c>
      <c r="AA8" s="19">
        <f t="shared" si="23"/>
        <v>0</v>
      </c>
      <c r="AB8" s="17">
        <f t="shared" si="24"/>
        <v>0</v>
      </c>
      <c r="AC8" s="17">
        <f t="shared" si="25"/>
        <v>0</v>
      </c>
      <c r="AD8" s="19">
        <f t="shared" si="26"/>
        <v>0</v>
      </c>
      <c r="AE8" s="17">
        <f t="shared" si="27"/>
        <v>0</v>
      </c>
      <c r="AF8" s="17">
        <f t="shared" si="28"/>
        <v>0</v>
      </c>
      <c r="AG8" s="19">
        <f t="shared" si="29"/>
        <v>0</v>
      </c>
      <c r="AH8" s="17">
        <f t="shared" si="30"/>
        <v>0</v>
      </c>
      <c r="AI8" s="17" t="str">
        <f t="shared" si="31"/>
        <v/>
      </c>
      <c r="AJ8" s="17" t="str">
        <f t="shared" si="34"/>
        <v xml:space="preserve">  </v>
      </c>
      <c r="AK8" s="17" t="str">
        <f t="shared" si="32"/>
        <v/>
      </c>
      <c r="AL8" s="17" t="str">
        <f t="shared" si="33"/>
        <v/>
      </c>
    </row>
    <row r="9" spans="1:38">
      <c r="A9" s="17">
        <v>4</v>
      </c>
      <c r="B9" s="18"/>
      <c r="C9" s="19">
        <f t="shared" si="2"/>
        <v>0</v>
      </c>
      <c r="D9" s="17">
        <f t="shared" si="3"/>
        <v>0</v>
      </c>
      <c r="E9" s="17" t="str">
        <f t="shared" si="4"/>
        <v/>
      </c>
      <c r="F9" s="19">
        <f t="shared" si="5"/>
        <v>0</v>
      </c>
      <c r="G9" s="17">
        <f t="shared" si="6"/>
        <v>0</v>
      </c>
      <c r="H9" s="17">
        <f t="shared" si="7"/>
        <v>0</v>
      </c>
      <c r="I9" s="19">
        <f t="shared" si="8"/>
        <v>0</v>
      </c>
      <c r="J9" s="17">
        <f t="shared" si="9"/>
        <v>0</v>
      </c>
      <c r="K9" s="17" t="str">
        <f t="shared" si="10"/>
        <v/>
      </c>
      <c r="L9" s="17" t="str">
        <f t="shared" si="11"/>
        <v/>
      </c>
      <c r="M9" s="17">
        <f t="shared" si="12"/>
        <v>0</v>
      </c>
      <c r="N9" s="19">
        <f t="shared" si="13"/>
        <v>0</v>
      </c>
      <c r="O9" s="20"/>
      <c r="P9" s="20"/>
      <c r="Q9" s="20"/>
      <c r="R9" s="17">
        <f t="shared" si="14"/>
        <v>0</v>
      </c>
      <c r="S9" s="17">
        <f t="shared" si="15"/>
        <v>0</v>
      </c>
      <c r="T9" s="19">
        <f t="shared" si="16"/>
        <v>0</v>
      </c>
      <c r="U9" s="17">
        <f t="shared" si="17"/>
        <v>0</v>
      </c>
      <c r="V9" s="17">
        <f t="shared" si="18"/>
        <v>0</v>
      </c>
      <c r="W9" s="19">
        <f t="shared" si="19"/>
        <v>0</v>
      </c>
      <c r="X9" s="17">
        <f t="shared" si="20"/>
        <v>0</v>
      </c>
      <c r="Y9" s="17" t="str">
        <f t="shared" si="21"/>
        <v/>
      </c>
      <c r="Z9" s="17" t="str">
        <f t="shared" si="22"/>
        <v/>
      </c>
      <c r="AA9" s="19">
        <f t="shared" si="23"/>
        <v>0</v>
      </c>
      <c r="AB9" s="17">
        <f t="shared" si="24"/>
        <v>0</v>
      </c>
      <c r="AC9" s="17">
        <f t="shared" si="25"/>
        <v>0</v>
      </c>
      <c r="AD9" s="19">
        <f t="shared" si="26"/>
        <v>0</v>
      </c>
      <c r="AE9" s="17">
        <f t="shared" si="27"/>
        <v>0</v>
      </c>
      <c r="AF9" s="17">
        <f t="shared" si="28"/>
        <v>0</v>
      </c>
      <c r="AG9" s="19">
        <f t="shared" si="29"/>
        <v>0</v>
      </c>
      <c r="AH9" s="17">
        <f t="shared" si="30"/>
        <v>0</v>
      </c>
      <c r="AI9" s="17" t="str">
        <f t="shared" si="31"/>
        <v/>
      </c>
      <c r="AJ9" s="17" t="str">
        <f t="shared" si="34"/>
        <v xml:space="preserve">  </v>
      </c>
      <c r="AK9" s="17" t="str">
        <f t="shared" si="32"/>
        <v/>
      </c>
      <c r="AL9" s="17" t="str">
        <f t="shared" si="33"/>
        <v/>
      </c>
    </row>
    <row r="10" spans="1:38">
      <c r="A10" s="17">
        <v>4.0999999999999996</v>
      </c>
      <c r="B10" s="18"/>
      <c r="C10" s="19">
        <f t="shared" si="2"/>
        <v>0</v>
      </c>
      <c r="D10" s="17">
        <f t="shared" si="3"/>
        <v>0</v>
      </c>
      <c r="E10" s="17" t="str">
        <f t="shared" si="4"/>
        <v/>
      </c>
      <c r="F10" s="19">
        <f t="shared" si="5"/>
        <v>0</v>
      </c>
      <c r="G10" s="17">
        <f t="shared" si="6"/>
        <v>0</v>
      </c>
      <c r="H10" s="17">
        <f t="shared" si="7"/>
        <v>0</v>
      </c>
      <c r="I10" s="19">
        <f t="shared" si="8"/>
        <v>0</v>
      </c>
      <c r="J10" s="17">
        <f t="shared" si="9"/>
        <v>0</v>
      </c>
      <c r="K10" s="17" t="str">
        <f t="shared" si="10"/>
        <v/>
      </c>
      <c r="L10" s="17" t="str">
        <f t="shared" si="11"/>
        <v/>
      </c>
      <c r="M10" s="17">
        <f t="shared" si="12"/>
        <v>0</v>
      </c>
      <c r="N10" s="19">
        <f t="shared" si="13"/>
        <v>0</v>
      </c>
      <c r="O10" s="20"/>
      <c r="P10" s="20"/>
      <c r="Q10" s="20"/>
      <c r="R10" s="17">
        <f t="shared" si="14"/>
        <v>0</v>
      </c>
      <c r="S10" s="17">
        <f t="shared" si="15"/>
        <v>0</v>
      </c>
      <c r="T10" s="19">
        <f t="shared" si="16"/>
        <v>0</v>
      </c>
      <c r="U10" s="17">
        <f t="shared" si="17"/>
        <v>0</v>
      </c>
      <c r="V10" s="17">
        <f t="shared" si="18"/>
        <v>0</v>
      </c>
      <c r="W10" s="19">
        <f t="shared" si="19"/>
        <v>0</v>
      </c>
      <c r="X10" s="17">
        <f t="shared" si="20"/>
        <v>0</v>
      </c>
      <c r="Y10" s="17" t="str">
        <f t="shared" si="21"/>
        <v/>
      </c>
      <c r="Z10" s="17" t="str">
        <f t="shared" si="22"/>
        <v/>
      </c>
      <c r="AA10" s="19">
        <f t="shared" si="23"/>
        <v>0</v>
      </c>
      <c r="AB10" s="17">
        <f t="shared" si="24"/>
        <v>0</v>
      </c>
      <c r="AC10" s="17">
        <f t="shared" si="25"/>
        <v>0</v>
      </c>
      <c r="AD10" s="19">
        <f t="shared" si="26"/>
        <v>0</v>
      </c>
      <c r="AE10" s="17">
        <f t="shared" si="27"/>
        <v>0</v>
      </c>
      <c r="AF10" s="17">
        <f t="shared" si="28"/>
        <v>0</v>
      </c>
      <c r="AG10" s="19">
        <f t="shared" si="29"/>
        <v>0</v>
      </c>
      <c r="AH10" s="17">
        <f t="shared" si="30"/>
        <v>0</v>
      </c>
      <c r="AI10" s="17" t="str">
        <f t="shared" si="31"/>
        <v/>
      </c>
      <c r="AJ10" s="17" t="str">
        <f t="shared" si="34"/>
        <v xml:space="preserve">  </v>
      </c>
      <c r="AK10" s="17" t="str">
        <f t="shared" si="32"/>
        <v/>
      </c>
      <c r="AL10" s="17" t="str">
        <f t="shared" si="33"/>
        <v/>
      </c>
    </row>
    <row r="11" spans="1:38">
      <c r="A11" s="17">
        <v>5</v>
      </c>
      <c r="B11" s="18"/>
      <c r="C11" s="19">
        <f t="shared" si="2"/>
        <v>0</v>
      </c>
      <c r="D11" s="17">
        <f t="shared" si="3"/>
        <v>0</v>
      </c>
      <c r="E11" s="17" t="str">
        <f t="shared" si="4"/>
        <v/>
      </c>
      <c r="F11" s="19">
        <f t="shared" si="5"/>
        <v>0</v>
      </c>
      <c r="G11" s="17">
        <f t="shared" si="6"/>
        <v>0</v>
      </c>
      <c r="H11" s="17">
        <f t="shared" si="7"/>
        <v>0</v>
      </c>
      <c r="I11" s="19">
        <f t="shared" si="8"/>
        <v>0</v>
      </c>
      <c r="J11" s="17">
        <f t="shared" si="9"/>
        <v>0</v>
      </c>
      <c r="K11" s="17" t="str">
        <f t="shared" si="10"/>
        <v/>
      </c>
      <c r="L11" s="17" t="str">
        <f t="shared" si="11"/>
        <v/>
      </c>
      <c r="M11" s="17">
        <f t="shared" si="12"/>
        <v>0</v>
      </c>
      <c r="N11" s="19">
        <f t="shared" si="13"/>
        <v>0</v>
      </c>
      <c r="O11" s="20"/>
      <c r="P11" s="20"/>
      <c r="Q11" s="20"/>
      <c r="R11" s="17">
        <f t="shared" si="14"/>
        <v>0</v>
      </c>
      <c r="S11" s="17">
        <f t="shared" si="15"/>
        <v>0</v>
      </c>
      <c r="T11" s="19">
        <f t="shared" si="16"/>
        <v>0</v>
      </c>
      <c r="U11" s="17">
        <f t="shared" si="17"/>
        <v>0</v>
      </c>
      <c r="V11" s="17">
        <f t="shared" si="18"/>
        <v>0</v>
      </c>
      <c r="W11" s="19">
        <f t="shared" si="19"/>
        <v>0</v>
      </c>
      <c r="X11" s="17">
        <f t="shared" si="20"/>
        <v>0</v>
      </c>
      <c r="Y11" s="17" t="str">
        <f t="shared" si="21"/>
        <v/>
      </c>
      <c r="Z11" s="17" t="str">
        <f t="shared" si="22"/>
        <v/>
      </c>
      <c r="AA11" s="19">
        <f t="shared" si="23"/>
        <v>0</v>
      </c>
      <c r="AB11" s="17">
        <f t="shared" si="24"/>
        <v>0</v>
      </c>
      <c r="AC11" s="17">
        <f t="shared" si="25"/>
        <v>0</v>
      </c>
      <c r="AD11" s="19">
        <f t="shared" si="26"/>
        <v>0</v>
      </c>
      <c r="AE11" s="17">
        <f t="shared" si="27"/>
        <v>0</v>
      </c>
      <c r="AF11" s="17">
        <f t="shared" si="28"/>
        <v>0</v>
      </c>
      <c r="AG11" s="19">
        <f t="shared" si="29"/>
        <v>0</v>
      </c>
      <c r="AH11" s="17">
        <f t="shared" si="30"/>
        <v>0</v>
      </c>
      <c r="AI11" s="17" t="str">
        <f t="shared" si="31"/>
        <v/>
      </c>
      <c r="AJ11" s="17" t="str">
        <f t="shared" si="34"/>
        <v xml:space="preserve">  </v>
      </c>
      <c r="AK11" s="17" t="str">
        <f t="shared" si="32"/>
        <v/>
      </c>
      <c r="AL11" s="17" t="str">
        <f t="shared" si="33"/>
        <v/>
      </c>
    </row>
    <row r="12" spans="1:38">
      <c r="A12" s="17">
        <v>5.0999999999999996</v>
      </c>
      <c r="B12" s="18"/>
      <c r="C12" s="19">
        <f t="shared" si="2"/>
        <v>0</v>
      </c>
      <c r="D12" s="17">
        <f t="shared" si="3"/>
        <v>0</v>
      </c>
      <c r="E12" s="17" t="str">
        <f t="shared" si="4"/>
        <v/>
      </c>
      <c r="F12" s="19">
        <f t="shared" si="5"/>
        <v>0</v>
      </c>
      <c r="G12" s="17">
        <f t="shared" si="6"/>
        <v>0</v>
      </c>
      <c r="H12" s="17">
        <f t="shared" si="7"/>
        <v>0</v>
      </c>
      <c r="I12" s="19">
        <f t="shared" si="8"/>
        <v>0</v>
      </c>
      <c r="J12" s="17">
        <f t="shared" si="9"/>
        <v>0</v>
      </c>
      <c r="K12" s="17" t="str">
        <f t="shared" si="10"/>
        <v/>
      </c>
      <c r="L12" s="17" t="str">
        <f t="shared" si="11"/>
        <v/>
      </c>
      <c r="M12" s="17">
        <f t="shared" si="12"/>
        <v>0</v>
      </c>
      <c r="N12" s="19">
        <f t="shared" si="13"/>
        <v>0</v>
      </c>
      <c r="O12" s="20"/>
      <c r="P12" s="20"/>
      <c r="Q12" s="20"/>
      <c r="R12" s="17">
        <f t="shared" si="14"/>
        <v>0</v>
      </c>
      <c r="S12" s="17">
        <f t="shared" si="15"/>
        <v>0</v>
      </c>
      <c r="T12" s="19">
        <f t="shared" si="16"/>
        <v>0</v>
      </c>
      <c r="U12" s="17">
        <f t="shared" si="17"/>
        <v>0</v>
      </c>
      <c r="V12" s="17">
        <f t="shared" si="18"/>
        <v>0</v>
      </c>
      <c r="W12" s="19">
        <f t="shared" si="19"/>
        <v>0</v>
      </c>
      <c r="X12" s="17">
        <f t="shared" si="20"/>
        <v>0</v>
      </c>
      <c r="Y12" s="17" t="str">
        <f t="shared" si="21"/>
        <v/>
      </c>
      <c r="Z12" s="17" t="str">
        <f t="shared" si="22"/>
        <v/>
      </c>
      <c r="AA12" s="19">
        <f t="shared" si="23"/>
        <v>0</v>
      </c>
      <c r="AB12" s="17">
        <f t="shared" si="24"/>
        <v>0</v>
      </c>
      <c r="AC12" s="17">
        <f t="shared" si="25"/>
        <v>0</v>
      </c>
      <c r="AD12" s="19">
        <f t="shared" si="26"/>
        <v>0</v>
      </c>
      <c r="AE12" s="17">
        <f t="shared" si="27"/>
        <v>0</v>
      </c>
      <c r="AF12" s="17">
        <f t="shared" si="28"/>
        <v>0</v>
      </c>
      <c r="AG12" s="19">
        <f t="shared" si="29"/>
        <v>0</v>
      </c>
      <c r="AH12" s="17">
        <f t="shared" si="30"/>
        <v>0</v>
      </c>
      <c r="AI12" s="17" t="str">
        <f t="shared" si="31"/>
        <v/>
      </c>
      <c r="AJ12" s="17" t="str">
        <f t="shared" si="34"/>
        <v xml:space="preserve">  </v>
      </c>
      <c r="AK12" s="17" t="str">
        <f t="shared" si="32"/>
        <v/>
      </c>
      <c r="AL12" s="17" t="str">
        <f t="shared" si="33"/>
        <v/>
      </c>
    </row>
    <row r="13" spans="1:38">
      <c r="A13" s="17">
        <v>6</v>
      </c>
      <c r="B13" s="18"/>
      <c r="C13" s="19">
        <f t="shared" si="2"/>
        <v>0</v>
      </c>
      <c r="D13" s="17">
        <f t="shared" si="3"/>
        <v>0</v>
      </c>
      <c r="E13" s="17" t="str">
        <f t="shared" si="4"/>
        <v/>
      </c>
      <c r="F13" s="19">
        <f t="shared" si="5"/>
        <v>0</v>
      </c>
      <c r="G13" s="17">
        <f t="shared" si="6"/>
        <v>0</v>
      </c>
      <c r="H13" s="17">
        <f t="shared" si="7"/>
        <v>0</v>
      </c>
      <c r="I13" s="19">
        <f t="shared" si="8"/>
        <v>0</v>
      </c>
      <c r="J13" s="17">
        <f t="shared" si="9"/>
        <v>0</v>
      </c>
      <c r="K13" s="17" t="str">
        <f t="shared" si="10"/>
        <v/>
      </c>
      <c r="L13" s="17" t="str">
        <f t="shared" si="11"/>
        <v/>
      </c>
      <c r="M13" s="17">
        <f t="shared" si="12"/>
        <v>0</v>
      </c>
      <c r="N13" s="19">
        <f t="shared" si="13"/>
        <v>0</v>
      </c>
      <c r="O13" s="20"/>
      <c r="P13" s="20"/>
      <c r="Q13" s="20"/>
      <c r="R13" s="17">
        <f t="shared" si="14"/>
        <v>0</v>
      </c>
      <c r="S13" s="17">
        <f t="shared" si="15"/>
        <v>0</v>
      </c>
      <c r="T13" s="19">
        <f t="shared" si="16"/>
        <v>0</v>
      </c>
      <c r="U13" s="17">
        <f t="shared" si="17"/>
        <v>0</v>
      </c>
      <c r="V13" s="17">
        <f t="shared" si="18"/>
        <v>0</v>
      </c>
      <c r="W13" s="19">
        <f t="shared" si="19"/>
        <v>0</v>
      </c>
      <c r="X13" s="17">
        <f t="shared" si="20"/>
        <v>0</v>
      </c>
      <c r="Y13" s="17" t="str">
        <f t="shared" si="21"/>
        <v/>
      </c>
      <c r="Z13" s="17" t="str">
        <f t="shared" si="22"/>
        <v/>
      </c>
      <c r="AA13" s="19">
        <f t="shared" si="23"/>
        <v>0</v>
      </c>
      <c r="AB13" s="17">
        <f t="shared" si="24"/>
        <v>0</v>
      </c>
      <c r="AC13" s="17">
        <f t="shared" si="25"/>
        <v>0</v>
      </c>
      <c r="AD13" s="19">
        <f t="shared" si="26"/>
        <v>0</v>
      </c>
      <c r="AE13" s="17">
        <f t="shared" si="27"/>
        <v>0</v>
      </c>
      <c r="AF13" s="17">
        <f t="shared" si="28"/>
        <v>0</v>
      </c>
      <c r="AG13" s="19">
        <f t="shared" si="29"/>
        <v>0</v>
      </c>
      <c r="AH13" s="17">
        <f t="shared" si="30"/>
        <v>0</v>
      </c>
      <c r="AI13" s="17" t="str">
        <f t="shared" si="31"/>
        <v/>
      </c>
      <c r="AJ13" s="17" t="str">
        <f t="shared" si="34"/>
        <v xml:space="preserve">  </v>
      </c>
      <c r="AK13" s="17" t="str">
        <f t="shared" si="32"/>
        <v/>
      </c>
      <c r="AL13" s="17" t="str">
        <f t="shared" si="33"/>
        <v/>
      </c>
    </row>
    <row r="14" spans="1:38">
      <c r="A14" s="17">
        <v>6.1</v>
      </c>
      <c r="B14" s="18"/>
      <c r="C14" s="19">
        <f t="shared" si="2"/>
        <v>0</v>
      </c>
      <c r="D14" s="17">
        <f t="shared" si="3"/>
        <v>0</v>
      </c>
      <c r="E14" s="17" t="str">
        <f t="shared" si="4"/>
        <v/>
      </c>
      <c r="F14" s="19">
        <f t="shared" si="5"/>
        <v>0</v>
      </c>
      <c r="G14" s="17">
        <f t="shared" si="6"/>
        <v>0</v>
      </c>
      <c r="H14" s="17">
        <f t="shared" si="7"/>
        <v>0</v>
      </c>
      <c r="I14" s="19">
        <f t="shared" si="8"/>
        <v>0</v>
      </c>
      <c r="J14" s="17">
        <f t="shared" si="9"/>
        <v>0</v>
      </c>
      <c r="K14" s="17" t="str">
        <f t="shared" si="10"/>
        <v/>
      </c>
      <c r="L14" s="17" t="str">
        <f t="shared" si="11"/>
        <v/>
      </c>
      <c r="M14" s="17">
        <f t="shared" si="12"/>
        <v>0</v>
      </c>
      <c r="N14" s="19">
        <f t="shared" si="13"/>
        <v>0</v>
      </c>
      <c r="O14" s="20"/>
      <c r="P14" s="20"/>
      <c r="Q14" s="20"/>
      <c r="R14" s="17">
        <f t="shared" si="14"/>
        <v>0</v>
      </c>
      <c r="S14" s="17">
        <f t="shared" si="15"/>
        <v>0</v>
      </c>
      <c r="T14" s="19">
        <f t="shared" si="16"/>
        <v>0</v>
      </c>
      <c r="U14" s="17">
        <f t="shared" si="17"/>
        <v>0</v>
      </c>
      <c r="V14" s="17">
        <f t="shared" si="18"/>
        <v>0</v>
      </c>
      <c r="W14" s="19">
        <f t="shared" si="19"/>
        <v>0</v>
      </c>
      <c r="X14" s="17">
        <f t="shared" si="20"/>
        <v>0</v>
      </c>
      <c r="Y14" s="17" t="str">
        <f t="shared" si="21"/>
        <v/>
      </c>
      <c r="Z14" s="17" t="str">
        <f t="shared" si="22"/>
        <v/>
      </c>
      <c r="AA14" s="19">
        <f t="shared" si="23"/>
        <v>0</v>
      </c>
      <c r="AB14" s="17">
        <f t="shared" si="24"/>
        <v>0</v>
      </c>
      <c r="AC14" s="17">
        <f t="shared" si="25"/>
        <v>0</v>
      </c>
      <c r="AD14" s="19">
        <f t="shared" si="26"/>
        <v>0</v>
      </c>
      <c r="AE14" s="17">
        <f t="shared" si="27"/>
        <v>0</v>
      </c>
      <c r="AF14" s="17">
        <f t="shared" si="28"/>
        <v>0</v>
      </c>
      <c r="AG14" s="19">
        <f t="shared" si="29"/>
        <v>0</v>
      </c>
      <c r="AH14" s="17">
        <f t="shared" si="30"/>
        <v>0</v>
      </c>
      <c r="AI14" s="17" t="str">
        <f t="shared" si="31"/>
        <v/>
      </c>
      <c r="AJ14" s="17" t="str">
        <f t="shared" si="34"/>
        <v xml:space="preserve">  </v>
      </c>
      <c r="AK14" s="17" t="str">
        <f t="shared" si="32"/>
        <v/>
      </c>
      <c r="AL14" s="17" t="str">
        <f t="shared" si="33"/>
        <v/>
      </c>
    </row>
    <row r="15" spans="1:38">
      <c r="A15" s="17">
        <v>7</v>
      </c>
      <c r="B15" s="18"/>
      <c r="C15" s="19">
        <f t="shared" si="2"/>
        <v>0</v>
      </c>
      <c r="D15" s="17">
        <f t="shared" si="3"/>
        <v>0</v>
      </c>
      <c r="E15" s="17" t="str">
        <f t="shared" si="4"/>
        <v/>
      </c>
      <c r="F15" s="19">
        <f t="shared" si="5"/>
        <v>0</v>
      </c>
      <c r="G15" s="17">
        <f t="shared" si="6"/>
        <v>0</v>
      </c>
      <c r="H15" s="17">
        <f t="shared" si="7"/>
        <v>0</v>
      </c>
      <c r="I15" s="19">
        <f t="shared" si="8"/>
        <v>0</v>
      </c>
      <c r="J15" s="17">
        <f t="shared" si="9"/>
        <v>0</v>
      </c>
      <c r="K15" s="17" t="str">
        <f t="shared" si="10"/>
        <v/>
      </c>
      <c r="L15" s="17" t="str">
        <f t="shared" si="11"/>
        <v/>
      </c>
      <c r="M15" s="17">
        <f t="shared" si="12"/>
        <v>0</v>
      </c>
      <c r="N15" s="19">
        <f t="shared" si="13"/>
        <v>0</v>
      </c>
      <c r="O15" s="20"/>
      <c r="P15" s="20"/>
      <c r="Q15" s="20"/>
      <c r="R15" s="17">
        <f t="shared" si="14"/>
        <v>0</v>
      </c>
      <c r="S15" s="17">
        <f t="shared" si="15"/>
        <v>0</v>
      </c>
      <c r="T15" s="19">
        <f t="shared" si="16"/>
        <v>0</v>
      </c>
      <c r="U15" s="17">
        <f t="shared" si="17"/>
        <v>0</v>
      </c>
      <c r="V15" s="17">
        <f t="shared" si="18"/>
        <v>0</v>
      </c>
      <c r="W15" s="19">
        <f t="shared" si="19"/>
        <v>0</v>
      </c>
      <c r="X15" s="17">
        <f t="shared" si="20"/>
        <v>0</v>
      </c>
      <c r="Y15" s="17" t="str">
        <f t="shared" si="21"/>
        <v/>
      </c>
      <c r="Z15" s="17" t="str">
        <f t="shared" si="22"/>
        <v/>
      </c>
      <c r="AA15" s="19">
        <f t="shared" si="23"/>
        <v>0</v>
      </c>
      <c r="AB15" s="17">
        <f t="shared" si="24"/>
        <v>0</v>
      </c>
      <c r="AC15" s="17">
        <f t="shared" si="25"/>
        <v>0</v>
      </c>
      <c r="AD15" s="19">
        <f t="shared" si="26"/>
        <v>0</v>
      </c>
      <c r="AE15" s="17">
        <f t="shared" si="27"/>
        <v>0</v>
      </c>
      <c r="AF15" s="17">
        <f t="shared" si="28"/>
        <v>0</v>
      </c>
      <c r="AG15" s="19">
        <f t="shared" si="29"/>
        <v>0</v>
      </c>
      <c r="AH15" s="17">
        <f t="shared" si="30"/>
        <v>0</v>
      </c>
      <c r="AI15" s="17" t="str">
        <f t="shared" si="31"/>
        <v/>
      </c>
      <c r="AJ15" s="17" t="str">
        <f t="shared" si="34"/>
        <v xml:space="preserve">  </v>
      </c>
      <c r="AK15" s="17" t="str">
        <f t="shared" si="32"/>
        <v/>
      </c>
      <c r="AL15" s="17" t="str">
        <f t="shared" si="33"/>
        <v/>
      </c>
    </row>
    <row r="16" spans="1:38">
      <c r="A16" s="17">
        <v>7.1</v>
      </c>
      <c r="B16" s="18"/>
      <c r="C16" s="19">
        <f t="shared" si="2"/>
        <v>0</v>
      </c>
      <c r="D16" s="17">
        <f t="shared" si="3"/>
        <v>0</v>
      </c>
      <c r="E16" s="17" t="str">
        <f t="shared" si="4"/>
        <v/>
      </c>
      <c r="F16" s="19">
        <f t="shared" si="5"/>
        <v>0</v>
      </c>
      <c r="G16" s="17">
        <f t="shared" si="6"/>
        <v>0</v>
      </c>
      <c r="H16" s="17">
        <f t="shared" si="7"/>
        <v>0</v>
      </c>
      <c r="I16" s="19">
        <f t="shared" si="8"/>
        <v>0</v>
      </c>
      <c r="J16" s="17">
        <f t="shared" si="9"/>
        <v>0</v>
      </c>
      <c r="K16" s="17" t="str">
        <f t="shared" si="10"/>
        <v/>
      </c>
      <c r="L16" s="17" t="str">
        <f t="shared" si="11"/>
        <v/>
      </c>
      <c r="M16" s="17">
        <f t="shared" si="12"/>
        <v>0</v>
      </c>
      <c r="N16" s="19">
        <f t="shared" si="13"/>
        <v>0</v>
      </c>
      <c r="O16" s="20"/>
      <c r="P16" s="20"/>
      <c r="Q16" s="20"/>
      <c r="R16" s="17">
        <f t="shared" si="14"/>
        <v>0</v>
      </c>
      <c r="S16" s="17">
        <f t="shared" si="15"/>
        <v>0</v>
      </c>
      <c r="T16" s="19">
        <f t="shared" si="16"/>
        <v>0</v>
      </c>
      <c r="U16" s="17">
        <f t="shared" si="17"/>
        <v>0</v>
      </c>
      <c r="V16" s="17">
        <f t="shared" si="18"/>
        <v>0</v>
      </c>
      <c r="W16" s="19">
        <f t="shared" si="19"/>
        <v>0</v>
      </c>
      <c r="X16" s="17">
        <f t="shared" si="20"/>
        <v>0</v>
      </c>
      <c r="Y16" s="17" t="str">
        <f t="shared" si="21"/>
        <v/>
      </c>
      <c r="Z16" s="17" t="str">
        <f t="shared" si="22"/>
        <v/>
      </c>
      <c r="AA16" s="19">
        <f t="shared" si="23"/>
        <v>0</v>
      </c>
      <c r="AB16" s="17">
        <f t="shared" si="24"/>
        <v>0</v>
      </c>
      <c r="AC16" s="17">
        <f t="shared" si="25"/>
        <v>0</v>
      </c>
      <c r="AD16" s="19">
        <f t="shared" si="26"/>
        <v>0</v>
      </c>
      <c r="AE16" s="17">
        <f t="shared" si="27"/>
        <v>0</v>
      </c>
      <c r="AF16" s="17">
        <f t="shared" si="28"/>
        <v>0</v>
      </c>
      <c r="AG16" s="19">
        <f t="shared" si="29"/>
        <v>0</v>
      </c>
      <c r="AH16" s="17">
        <f t="shared" si="30"/>
        <v>0</v>
      </c>
      <c r="AI16" s="17" t="str">
        <f t="shared" si="31"/>
        <v/>
      </c>
      <c r="AJ16" s="17" t="str">
        <f t="shared" si="34"/>
        <v xml:space="preserve">  </v>
      </c>
      <c r="AK16" s="17" t="str">
        <f t="shared" si="32"/>
        <v/>
      </c>
      <c r="AL16" s="17" t="str">
        <f t="shared" si="33"/>
        <v/>
      </c>
    </row>
    <row r="17" spans="1:38">
      <c r="A17" s="17">
        <v>8</v>
      </c>
      <c r="B17" s="18"/>
      <c r="C17" s="19">
        <f t="shared" si="2"/>
        <v>0</v>
      </c>
      <c r="D17" s="17">
        <f t="shared" si="3"/>
        <v>0</v>
      </c>
      <c r="E17" s="17" t="str">
        <f t="shared" si="4"/>
        <v/>
      </c>
      <c r="F17" s="19">
        <f t="shared" si="5"/>
        <v>0</v>
      </c>
      <c r="G17" s="17">
        <f t="shared" si="6"/>
        <v>0</v>
      </c>
      <c r="H17" s="17">
        <f t="shared" si="7"/>
        <v>0</v>
      </c>
      <c r="I17" s="19">
        <f t="shared" si="8"/>
        <v>0</v>
      </c>
      <c r="J17" s="17">
        <f t="shared" si="9"/>
        <v>0</v>
      </c>
      <c r="K17" s="17" t="str">
        <f t="shared" si="10"/>
        <v/>
      </c>
      <c r="L17" s="17" t="str">
        <f t="shared" si="11"/>
        <v/>
      </c>
      <c r="M17" s="17">
        <f t="shared" si="12"/>
        <v>0</v>
      </c>
      <c r="N17" s="19">
        <f t="shared" si="13"/>
        <v>0</v>
      </c>
      <c r="O17" s="20"/>
      <c r="P17" s="20"/>
      <c r="Q17" s="20"/>
      <c r="R17" s="17">
        <f t="shared" si="14"/>
        <v>0</v>
      </c>
      <c r="S17" s="17">
        <f t="shared" si="15"/>
        <v>0</v>
      </c>
      <c r="T17" s="19">
        <f t="shared" si="16"/>
        <v>0</v>
      </c>
      <c r="U17" s="17">
        <f t="shared" si="17"/>
        <v>0</v>
      </c>
      <c r="V17" s="17">
        <f t="shared" si="18"/>
        <v>0</v>
      </c>
      <c r="W17" s="19">
        <f t="shared" si="19"/>
        <v>0</v>
      </c>
      <c r="X17" s="17">
        <f t="shared" si="20"/>
        <v>0</v>
      </c>
      <c r="Y17" s="17" t="str">
        <f t="shared" si="21"/>
        <v/>
      </c>
      <c r="Z17" s="17" t="str">
        <f t="shared" si="22"/>
        <v/>
      </c>
      <c r="AA17" s="19">
        <f t="shared" si="23"/>
        <v>0</v>
      </c>
      <c r="AB17" s="17">
        <f t="shared" si="24"/>
        <v>0</v>
      </c>
      <c r="AC17" s="17">
        <f t="shared" si="25"/>
        <v>0</v>
      </c>
      <c r="AD17" s="19">
        <f t="shared" si="26"/>
        <v>0</v>
      </c>
      <c r="AE17" s="17">
        <f t="shared" si="27"/>
        <v>0</v>
      </c>
      <c r="AF17" s="17">
        <f t="shared" si="28"/>
        <v>0</v>
      </c>
      <c r="AG17" s="19">
        <f t="shared" si="29"/>
        <v>0</v>
      </c>
      <c r="AH17" s="17">
        <f t="shared" si="30"/>
        <v>0</v>
      </c>
      <c r="AI17" s="17" t="str">
        <f t="shared" si="31"/>
        <v/>
      </c>
      <c r="AJ17" s="17" t="str">
        <f t="shared" si="34"/>
        <v xml:space="preserve">  </v>
      </c>
      <c r="AK17" s="17" t="str">
        <f t="shared" si="32"/>
        <v/>
      </c>
      <c r="AL17" s="17" t="str">
        <f t="shared" si="33"/>
        <v/>
      </c>
    </row>
    <row r="18" spans="1:38">
      <c r="A18" s="17">
        <v>8.1</v>
      </c>
      <c r="B18" s="18"/>
      <c r="C18" s="19">
        <f t="shared" si="2"/>
        <v>0</v>
      </c>
      <c r="D18" s="17">
        <f t="shared" si="3"/>
        <v>0</v>
      </c>
      <c r="E18" s="17" t="str">
        <f t="shared" si="4"/>
        <v/>
      </c>
      <c r="F18" s="19">
        <f t="shared" si="5"/>
        <v>0</v>
      </c>
      <c r="G18" s="17">
        <f t="shared" si="6"/>
        <v>0</v>
      </c>
      <c r="H18" s="17">
        <f t="shared" si="7"/>
        <v>0</v>
      </c>
      <c r="I18" s="19">
        <f t="shared" si="8"/>
        <v>0</v>
      </c>
      <c r="J18" s="17">
        <f t="shared" si="9"/>
        <v>0</v>
      </c>
      <c r="K18" s="17" t="str">
        <f t="shared" si="10"/>
        <v/>
      </c>
      <c r="L18" s="17" t="str">
        <f t="shared" si="11"/>
        <v/>
      </c>
      <c r="M18" s="17">
        <f t="shared" si="12"/>
        <v>0</v>
      </c>
      <c r="N18" s="19">
        <f t="shared" si="13"/>
        <v>0</v>
      </c>
      <c r="O18" s="20"/>
      <c r="P18" s="20"/>
      <c r="Q18" s="20"/>
      <c r="R18" s="17">
        <f t="shared" si="14"/>
        <v>0</v>
      </c>
      <c r="S18" s="17">
        <f t="shared" si="15"/>
        <v>0</v>
      </c>
      <c r="T18" s="19">
        <f t="shared" si="16"/>
        <v>0</v>
      </c>
      <c r="U18" s="17">
        <f t="shared" si="17"/>
        <v>0</v>
      </c>
      <c r="V18" s="17">
        <f t="shared" si="18"/>
        <v>0</v>
      </c>
      <c r="W18" s="19">
        <f t="shared" si="19"/>
        <v>0</v>
      </c>
      <c r="X18" s="17">
        <f t="shared" si="20"/>
        <v>0</v>
      </c>
      <c r="Y18" s="17" t="str">
        <f t="shared" si="21"/>
        <v/>
      </c>
      <c r="Z18" s="17" t="str">
        <f t="shared" si="22"/>
        <v/>
      </c>
      <c r="AA18" s="19">
        <f t="shared" si="23"/>
        <v>0</v>
      </c>
      <c r="AB18" s="17">
        <f t="shared" si="24"/>
        <v>0</v>
      </c>
      <c r="AC18" s="17">
        <f t="shared" si="25"/>
        <v>0</v>
      </c>
      <c r="AD18" s="19">
        <f t="shared" si="26"/>
        <v>0</v>
      </c>
      <c r="AE18" s="17">
        <f t="shared" si="27"/>
        <v>0</v>
      </c>
      <c r="AF18" s="17">
        <f t="shared" si="28"/>
        <v>0</v>
      </c>
      <c r="AG18" s="19">
        <f t="shared" si="29"/>
        <v>0</v>
      </c>
      <c r="AH18" s="17">
        <f t="shared" si="30"/>
        <v>0</v>
      </c>
      <c r="AI18" s="17" t="str">
        <f t="shared" si="31"/>
        <v/>
      </c>
      <c r="AJ18" s="17" t="str">
        <f t="shared" si="34"/>
        <v xml:space="preserve">  </v>
      </c>
      <c r="AK18" s="17" t="str">
        <f t="shared" si="32"/>
        <v/>
      </c>
      <c r="AL18" s="17" t="str">
        <f t="shared" si="33"/>
        <v/>
      </c>
    </row>
    <row r="19" spans="1:38">
      <c r="A19" s="17">
        <v>9</v>
      </c>
      <c r="B19" s="18"/>
      <c r="C19" s="19">
        <f t="shared" si="2"/>
        <v>0</v>
      </c>
      <c r="D19" s="17">
        <f t="shared" si="3"/>
        <v>0</v>
      </c>
      <c r="E19" s="17" t="str">
        <f t="shared" si="4"/>
        <v/>
      </c>
      <c r="F19" s="19">
        <f t="shared" si="5"/>
        <v>0</v>
      </c>
      <c r="G19" s="17">
        <f t="shared" si="6"/>
        <v>0</v>
      </c>
      <c r="H19" s="17">
        <f t="shared" si="7"/>
        <v>0</v>
      </c>
      <c r="I19" s="19">
        <f t="shared" si="8"/>
        <v>0</v>
      </c>
      <c r="J19" s="17">
        <f t="shared" si="9"/>
        <v>0</v>
      </c>
      <c r="K19" s="17" t="str">
        <f t="shared" si="10"/>
        <v/>
      </c>
      <c r="L19" s="17" t="str">
        <f t="shared" si="11"/>
        <v/>
      </c>
      <c r="M19" s="17">
        <f t="shared" si="12"/>
        <v>0</v>
      </c>
      <c r="N19" s="19">
        <f t="shared" si="13"/>
        <v>0</v>
      </c>
      <c r="O19" s="20"/>
      <c r="P19" s="20"/>
      <c r="Q19" s="20"/>
      <c r="R19" s="17">
        <f t="shared" si="14"/>
        <v>0</v>
      </c>
      <c r="S19" s="17">
        <f t="shared" si="15"/>
        <v>0</v>
      </c>
      <c r="T19" s="19">
        <f t="shared" si="16"/>
        <v>0</v>
      </c>
      <c r="U19" s="17">
        <f t="shared" si="17"/>
        <v>0</v>
      </c>
      <c r="V19" s="17">
        <f t="shared" si="18"/>
        <v>0</v>
      </c>
      <c r="W19" s="19">
        <f t="shared" si="19"/>
        <v>0</v>
      </c>
      <c r="X19" s="17">
        <f t="shared" si="20"/>
        <v>0</v>
      </c>
      <c r="Y19" s="17" t="str">
        <f t="shared" si="21"/>
        <v/>
      </c>
      <c r="Z19" s="17" t="str">
        <f t="shared" si="22"/>
        <v/>
      </c>
      <c r="AA19" s="19">
        <f t="shared" si="23"/>
        <v>0</v>
      </c>
      <c r="AB19" s="17">
        <f t="shared" si="24"/>
        <v>0</v>
      </c>
      <c r="AC19" s="17">
        <f t="shared" si="25"/>
        <v>0</v>
      </c>
      <c r="AD19" s="19">
        <f t="shared" si="26"/>
        <v>0</v>
      </c>
      <c r="AE19" s="17">
        <f t="shared" si="27"/>
        <v>0</v>
      </c>
      <c r="AF19" s="17">
        <f t="shared" si="28"/>
        <v>0</v>
      </c>
      <c r="AG19" s="19">
        <f t="shared" si="29"/>
        <v>0</v>
      </c>
      <c r="AH19" s="17">
        <f t="shared" si="30"/>
        <v>0</v>
      </c>
      <c r="AI19" s="17" t="str">
        <f t="shared" si="31"/>
        <v/>
      </c>
      <c r="AJ19" s="17" t="str">
        <f t="shared" si="34"/>
        <v xml:space="preserve">  </v>
      </c>
      <c r="AK19" s="17" t="str">
        <f t="shared" si="32"/>
        <v/>
      </c>
      <c r="AL19" s="17" t="str">
        <f t="shared" si="33"/>
        <v/>
      </c>
    </row>
    <row r="20" spans="1:38">
      <c r="A20" s="17">
        <v>9.1</v>
      </c>
      <c r="B20" s="18"/>
      <c r="C20" s="19">
        <f t="shared" si="2"/>
        <v>0</v>
      </c>
      <c r="D20" s="17">
        <f t="shared" si="3"/>
        <v>0</v>
      </c>
      <c r="E20" s="17" t="str">
        <f t="shared" si="4"/>
        <v/>
      </c>
      <c r="F20" s="19">
        <f t="shared" si="5"/>
        <v>0</v>
      </c>
      <c r="G20" s="17">
        <f t="shared" si="6"/>
        <v>0</v>
      </c>
      <c r="H20" s="17">
        <f t="shared" si="7"/>
        <v>0</v>
      </c>
      <c r="I20" s="19">
        <f t="shared" si="8"/>
        <v>0</v>
      </c>
      <c r="J20" s="17">
        <f t="shared" si="9"/>
        <v>0</v>
      </c>
      <c r="K20" s="17" t="str">
        <f t="shared" si="10"/>
        <v/>
      </c>
      <c r="L20" s="17" t="str">
        <f t="shared" si="11"/>
        <v/>
      </c>
      <c r="M20" s="17">
        <f t="shared" si="12"/>
        <v>0</v>
      </c>
      <c r="N20" s="19">
        <f t="shared" si="13"/>
        <v>0</v>
      </c>
      <c r="O20" s="20"/>
      <c r="P20" s="20"/>
      <c r="Q20" s="20"/>
      <c r="R20" s="17">
        <f t="shared" si="14"/>
        <v>0</v>
      </c>
      <c r="S20" s="17">
        <f t="shared" si="15"/>
        <v>0</v>
      </c>
      <c r="T20" s="19">
        <f t="shared" si="16"/>
        <v>0</v>
      </c>
      <c r="U20" s="17">
        <f t="shared" si="17"/>
        <v>0</v>
      </c>
      <c r="V20" s="17">
        <f t="shared" si="18"/>
        <v>0</v>
      </c>
      <c r="W20" s="19">
        <f t="shared" si="19"/>
        <v>0</v>
      </c>
      <c r="X20" s="17">
        <f t="shared" si="20"/>
        <v>0</v>
      </c>
      <c r="Y20" s="17" t="str">
        <f t="shared" si="21"/>
        <v/>
      </c>
      <c r="Z20" s="17" t="str">
        <f t="shared" si="22"/>
        <v/>
      </c>
      <c r="AA20" s="19">
        <f t="shared" si="23"/>
        <v>0</v>
      </c>
      <c r="AB20" s="17">
        <f t="shared" si="24"/>
        <v>0</v>
      </c>
      <c r="AC20" s="17">
        <f t="shared" si="25"/>
        <v>0</v>
      </c>
      <c r="AD20" s="19">
        <f t="shared" si="26"/>
        <v>0</v>
      </c>
      <c r="AE20" s="17">
        <f t="shared" si="27"/>
        <v>0</v>
      </c>
      <c r="AF20" s="17">
        <f t="shared" si="28"/>
        <v>0</v>
      </c>
      <c r="AG20" s="19">
        <f t="shared" si="29"/>
        <v>0</v>
      </c>
      <c r="AH20" s="17">
        <f t="shared" si="30"/>
        <v>0</v>
      </c>
      <c r="AI20" s="17" t="str">
        <f t="shared" si="31"/>
        <v/>
      </c>
      <c r="AJ20" s="17" t="str">
        <f t="shared" si="34"/>
        <v xml:space="preserve">  </v>
      </c>
      <c r="AK20" s="17" t="str">
        <f t="shared" si="32"/>
        <v/>
      </c>
      <c r="AL20" s="17" t="str">
        <f t="shared" si="33"/>
        <v/>
      </c>
    </row>
    <row r="21" spans="1:38">
      <c r="A21" s="17">
        <v>10</v>
      </c>
      <c r="B21" s="18"/>
      <c r="C21" s="19">
        <f t="shared" si="2"/>
        <v>0</v>
      </c>
      <c r="D21" s="17">
        <f t="shared" si="3"/>
        <v>0</v>
      </c>
      <c r="E21" s="17" t="str">
        <f t="shared" si="4"/>
        <v/>
      </c>
      <c r="F21" s="19">
        <f t="shared" si="5"/>
        <v>0</v>
      </c>
      <c r="G21" s="17">
        <f t="shared" si="6"/>
        <v>0</v>
      </c>
      <c r="H21" s="17">
        <f t="shared" si="7"/>
        <v>0</v>
      </c>
      <c r="I21" s="19">
        <f t="shared" si="8"/>
        <v>0</v>
      </c>
      <c r="J21" s="17">
        <f t="shared" si="9"/>
        <v>0</v>
      </c>
      <c r="K21" s="17" t="str">
        <f t="shared" si="10"/>
        <v/>
      </c>
      <c r="L21" s="17" t="str">
        <f t="shared" si="11"/>
        <v/>
      </c>
      <c r="M21" s="17">
        <f t="shared" si="12"/>
        <v>0</v>
      </c>
      <c r="N21" s="19">
        <f t="shared" si="13"/>
        <v>0</v>
      </c>
      <c r="O21" s="20"/>
      <c r="P21" s="20"/>
      <c r="Q21" s="20"/>
      <c r="R21" s="17">
        <f t="shared" si="14"/>
        <v>0</v>
      </c>
      <c r="S21" s="17">
        <f t="shared" si="15"/>
        <v>0</v>
      </c>
      <c r="T21" s="19">
        <f t="shared" si="16"/>
        <v>0</v>
      </c>
      <c r="U21" s="17">
        <f t="shared" si="17"/>
        <v>0</v>
      </c>
      <c r="V21" s="17">
        <f t="shared" si="18"/>
        <v>0</v>
      </c>
      <c r="W21" s="19">
        <f t="shared" si="19"/>
        <v>0</v>
      </c>
      <c r="X21" s="17">
        <f t="shared" si="20"/>
        <v>0</v>
      </c>
      <c r="Y21" s="17" t="str">
        <f t="shared" si="21"/>
        <v/>
      </c>
      <c r="Z21" s="17" t="str">
        <f t="shared" si="22"/>
        <v/>
      </c>
      <c r="AA21" s="19">
        <f t="shared" si="23"/>
        <v>0</v>
      </c>
      <c r="AB21" s="17">
        <f t="shared" si="24"/>
        <v>0</v>
      </c>
      <c r="AC21" s="17">
        <f t="shared" si="25"/>
        <v>0</v>
      </c>
      <c r="AD21" s="19">
        <f t="shared" si="26"/>
        <v>0</v>
      </c>
      <c r="AE21" s="17">
        <f t="shared" si="27"/>
        <v>0</v>
      </c>
      <c r="AF21" s="17">
        <f t="shared" si="28"/>
        <v>0</v>
      </c>
      <c r="AG21" s="19">
        <f t="shared" si="29"/>
        <v>0</v>
      </c>
      <c r="AH21" s="17">
        <f t="shared" si="30"/>
        <v>0</v>
      </c>
      <c r="AI21" s="17" t="str">
        <f t="shared" si="31"/>
        <v/>
      </c>
      <c r="AJ21" s="17" t="str">
        <f t="shared" si="34"/>
        <v xml:space="preserve">  </v>
      </c>
      <c r="AK21" s="17" t="str">
        <f t="shared" si="32"/>
        <v/>
      </c>
      <c r="AL21" s="17" t="str">
        <f t="shared" si="33"/>
        <v/>
      </c>
    </row>
    <row r="22" spans="1:38">
      <c r="A22" s="17">
        <v>10.1</v>
      </c>
      <c r="B22" s="18"/>
      <c r="C22" s="19">
        <f t="shared" si="2"/>
        <v>0</v>
      </c>
      <c r="D22" s="17">
        <f t="shared" si="3"/>
        <v>0</v>
      </c>
      <c r="E22" s="17" t="str">
        <f t="shared" si="4"/>
        <v/>
      </c>
      <c r="F22" s="19">
        <f t="shared" si="5"/>
        <v>0</v>
      </c>
      <c r="G22" s="17">
        <f t="shared" si="6"/>
        <v>0</v>
      </c>
      <c r="H22" s="17">
        <f t="shared" si="7"/>
        <v>0</v>
      </c>
      <c r="I22" s="19">
        <f t="shared" si="8"/>
        <v>0</v>
      </c>
      <c r="J22" s="17">
        <f t="shared" si="9"/>
        <v>0</v>
      </c>
      <c r="K22" s="17" t="str">
        <f t="shared" si="10"/>
        <v/>
      </c>
      <c r="L22" s="17" t="str">
        <f t="shared" si="11"/>
        <v/>
      </c>
      <c r="M22" s="17">
        <f t="shared" si="12"/>
        <v>0</v>
      </c>
      <c r="N22" s="19">
        <f t="shared" si="13"/>
        <v>0</v>
      </c>
      <c r="O22" s="20"/>
      <c r="P22" s="20"/>
      <c r="Q22" s="20"/>
      <c r="R22" s="17">
        <f t="shared" si="14"/>
        <v>0</v>
      </c>
      <c r="S22" s="17">
        <f t="shared" si="15"/>
        <v>0</v>
      </c>
      <c r="T22" s="19">
        <f t="shared" si="16"/>
        <v>0</v>
      </c>
      <c r="U22" s="17">
        <f t="shared" si="17"/>
        <v>0</v>
      </c>
      <c r="V22" s="17">
        <f t="shared" si="18"/>
        <v>0</v>
      </c>
      <c r="W22" s="19">
        <f t="shared" si="19"/>
        <v>0</v>
      </c>
      <c r="X22" s="17">
        <f t="shared" si="20"/>
        <v>0</v>
      </c>
      <c r="Y22" s="17" t="str">
        <f t="shared" si="21"/>
        <v/>
      </c>
      <c r="Z22" s="17" t="str">
        <f t="shared" si="22"/>
        <v/>
      </c>
      <c r="AA22" s="19">
        <f t="shared" si="23"/>
        <v>0</v>
      </c>
      <c r="AB22" s="17">
        <f t="shared" si="24"/>
        <v>0</v>
      </c>
      <c r="AC22" s="17">
        <f t="shared" si="25"/>
        <v>0</v>
      </c>
      <c r="AD22" s="19">
        <f t="shared" si="26"/>
        <v>0</v>
      </c>
      <c r="AE22" s="17">
        <f t="shared" si="27"/>
        <v>0</v>
      </c>
      <c r="AF22" s="17">
        <f t="shared" si="28"/>
        <v>0</v>
      </c>
      <c r="AG22" s="19">
        <f t="shared" si="29"/>
        <v>0</v>
      </c>
      <c r="AH22" s="17">
        <f t="shared" si="30"/>
        <v>0</v>
      </c>
      <c r="AI22" s="17" t="str">
        <f t="shared" si="31"/>
        <v/>
      </c>
      <c r="AJ22" s="17" t="str">
        <f t="shared" si="34"/>
        <v xml:space="preserve">  </v>
      </c>
      <c r="AK22" s="17" t="str">
        <f t="shared" si="32"/>
        <v/>
      </c>
      <c r="AL22" s="17" t="str">
        <f t="shared" si="33"/>
        <v/>
      </c>
    </row>
    <row r="23" spans="1:38">
      <c r="A23" s="17">
        <v>11</v>
      </c>
      <c r="B23" s="18"/>
      <c r="C23" s="19">
        <f t="shared" si="2"/>
        <v>0</v>
      </c>
      <c r="D23" s="17">
        <f t="shared" si="3"/>
        <v>0</v>
      </c>
      <c r="E23" s="17" t="str">
        <f t="shared" si="4"/>
        <v/>
      </c>
      <c r="F23" s="19">
        <f t="shared" si="5"/>
        <v>0</v>
      </c>
      <c r="G23" s="17">
        <f t="shared" si="6"/>
        <v>0</v>
      </c>
      <c r="H23" s="17">
        <f t="shared" si="7"/>
        <v>0</v>
      </c>
      <c r="I23" s="19">
        <f t="shared" si="8"/>
        <v>0</v>
      </c>
      <c r="J23" s="17">
        <f t="shared" si="9"/>
        <v>0</v>
      </c>
      <c r="K23" s="17" t="str">
        <f t="shared" si="10"/>
        <v/>
      </c>
      <c r="L23" s="17" t="str">
        <f t="shared" si="11"/>
        <v/>
      </c>
      <c r="M23" s="17">
        <f t="shared" si="12"/>
        <v>0</v>
      </c>
      <c r="N23" s="19">
        <f t="shared" si="13"/>
        <v>0</v>
      </c>
      <c r="O23" s="20"/>
      <c r="P23" s="20"/>
      <c r="Q23" s="20"/>
      <c r="R23" s="17">
        <f t="shared" si="14"/>
        <v>0</v>
      </c>
      <c r="S23" s="17">
        <f t="shared" si="15"/>
        <v>0</v>
      </c>
      <c r="T23" s="19">
        <f t="shared" si="16"/>
        <v>0</v>
      </c>
      <c r="U23" s="17">
        <f t="shared" si="17"/>
        <v>0</v>
      </c>
      <c r="V23" s="17">
        <f t="shared" si="18"/>
        <v>0</v>
      </c>
      <c r="W23" s="19">
        <f t="shared" si="19"/>
        <v>0</v>
      </c>
      <c r="X23" s="17">
        <f t="shared" si="20"/>
        <v>0</v>
      </c>
      <c r="Y23" s="17" t="str">
        <f t="shared" si="21"/>
        <v/>
      </c>
      <c r="Z23" s="17" t="str">
        <f t="shared" si="22"/>
        <v/>
      </c>
      <c r="AA23" s="19">
        <f t="shared" si="23"/>
        <v>0</v>
      </c>
      <c r="AB23" s="17">
        <f t="shared" si="24"/>
        <v>0</v>
      </c>
      <c r="AC23" s="17">
        <f t="shared" si="25"/>
        <v>0</v>
      </c>
      <c r="AD23" s="19">
        <f t="shared" si="26"/>
        <v>0</v>
      </c>
      <c r="AE23" s="17">
        <f t="shared" si="27"/>
        <v>0</v>
      </c>
      <c r="AF23" s="17">
        <f t="shared" si="28"/>
        <v>0</v>
      </c>
      <c r="AG23" s="19">
        <f t="shared" si="29"/>
        <v>0</v>
      </c>
      <c r="AH23" s="17">
        <f t="shared" si="30"/>
        <v>0</v>
      </c>
      <c r="AI23" s="17" t="str">
        <f t="shared" si="31"/>
        <v/>
      </c>
      <c r="AJ23" s="17" t="str">
        <f t="shared" si="34"/>
        <v xml:space="preserve">  </v>
      </c>
      <c r="AK23" s="17" t="str">
        <f t="shared" si="32"/>
        <v/>
      </c>
      <c r="AL23" s="17" t="str">
        <f t="shared" si="33"/>
        <v/>
      </c>
    </row>
    <row r="24" spans="1:38">
      <c r="A24" s="17">
        <v>11.1</v>
      </c>
      <c r="B24" s="18"/>
      <c r="C24" s="19">
        <f t="shared" si="2"/>
        <v>0</v>
      </c>
      <c r="D24" s="17">
        <f t="shared" si="3"/>
        <v>0</v>
      </c>
      <c r="E24" s="17" t="str">
        <f t="shared" si="4"/>
        <v/>
      </c>
      <c r="F24" s="19">
        <f t="shared" si="5"/>
        <v>0</v>
      </c>
      <c r="G24" s="17">
        <f t="shared" si="6"/>
        <v>0</v>
      </c>
      <c r="H24" s="17">
        <f t="shared" si="7"/>
        <v>0</v>
      </c>
      <c r="I24" s="19">
        <f t="shared" si="8"/>
        <v>0</v>
      </c>
      <c r="J24" s="17">
        <f t="shared" si="9"/>
        <v>0</v>
      </c>
      <c r="K24" s="17" t="str">
        <f t="shared" si="10"/>
        <v/>
      </c>
      <c r="L24" s="17" t="str">
        <f t="shared" si="11"/>
        <v/>
      </c>
      <c r="M24" s="17">
        <f t="shared" si="12"/>
        <v>0</v>
      </c>
      <c r="N24" s="19">
        <f t="shared" si="13"/>
        <v>0</v>
      </c>
      <c r="O24" s="20"/>
      <c r="P24" s="20"/>
      <c r="Q24" s="20"/>
      <c r="R24" s="17">
        <f t="shared" si="14"/>
        <v>0</v>
      </c>
      <c r="S24" s="17">
        <f t="shared" si="15"/>
        <v>0</v>
      </c>
      <c r="T24" s="19">
        <f t="shared" si="16"/>
        <v>0</v>
      </c>
      <c r="U24" s="17">
        <f t="shared" si="17"/>
        <v>0</v>
      </c>
      <c r="V24" s="17">
        <f t="shared" si="18"/>
        <v>0</v>
      </c>
      <c r="W24" s="19">
        <f t="shared" si="19"/>
        <v>0</v>
      </c>
      <c r="X24" s="17">
        <f t="shared" si="20"/>
        <v>0</v>
      </c>
      <c r="Y24" s="17" t="str">
        <f t="shared" si="21"/>
        <v/>
      </c>
      <c r="Z24" s="17" t="str">
        <f t="shared" si="22"/>
        <v/>
      </c>
      <c r="AA24" s="19">
        <f t="shared" si="23"/>
        <v>0</v>
      </c>
      <c r="AB24" s="17">
        <f t="shared" si="24"/>
        <v>0</v>
      </c>
      <c r="AC24" s="17">
        <f t="shared" si="25"/>
        <v>0</v>
      </c>
      <c r="AD24" s="19">
        <f t="shared" si="26"/>
        <v>0</v>
      </c>
      <c r="AE24" s="17">
        <f t="shared" si="27"/>
        <v>0</v>
      </c>
      <c r="AF24" s="17">
        <f t="shared" si="28"/>
        <v>0</v>
      </c>
      <c r="AG24" s="19">
        <f t="shared" si="29"/>
        <v>0</v>
      </c>
      <c r="AH24" s="17">
        <f t="shared" si="30"/>
        <v>0</v>
      </c>
      <c r="AI24" s="17" t="str">
        <f t="shared" si="31"/>
        <v/>
      </c>
      <c r="AJ24" s="17" t="str">
        <f t="shared" si="34"/>
        <v xml:space="preserve">  </v>
      </c>
      <c r="AK24" s="17" t="str">
        <f t="shared" si="32"/>
        <v/>
      </c>
      <c r="AL24" s="17" t="str">
        <f t="shared" si="33"/>
        <v/>
      </c>
    </row>
    <row r="28" spans="1:38">
      <c r="A28" s="17">
        <v>0</v>
      </c>
    </row>
    <row r="29" spans="1:38">
      <c r="A29" s="17">
        <v>1</v>
      </c>
      <c r="B29" s="17" t="s">
        <v>37</v>
      </c>
      <c r="C29" s="17" t="s">
        <v>38</v>
      </c>
      <c r="D29" s="17" t="s">
        <v>39</v>
      </c>
      <c r="E29" s="17" t="s">
        <v>40</v>
      </c>
      <c r="F29" s="17" t="s">
        <v>41</v>
      </c>
      <c r="G29" s="17" t="s">
        <v>42</v>
      </c>
    </row>
    <row r="30" spans="1:38">
      <c r="A30" s="17">
        <v>2</v>
      </c>
      <c r="B30" s="17" t="s">
        <v>43</v>
      </c>
      <c r="C30" s="17" t="s">
        <v>44</v>
      </c>
      <c r="D30" s="17" t="s">
        <v>45</v>
      </c>
      <c r="E30" s="17" t="s">
        <v>46</v>
      </c>
      <c r="F30" s="17" t="s">
        <v>47</v>
      </c>
      <c r="G30" s="17" t="s">
        <v>48</v>
      </c>
    </row>
    <row r="31" spans="1:38">
      <c r="A31" s="17">
        <v>3</v>
      </c>
      <c r="B31" s="17" t="s">
        <v>49</v>
      </c>
      <c r="C31" s="17" t="s">
        <v>50</v>
      </c>
      <c r="D31" s="17" t="s">
        <v>51</v>
      </c>
      <c r="E31" s="17" t="s">
        <v>51</v>
      </c>
      <c r="F31" s="17" t="s">
        <v>47</v>
      </c>
      <c r="G31" s="17" t="s">
        <v>48</v>
      </c>
    </row>
    <row r="32" spans="1:38">
      <c r="A32" s="17">
        <v>4</v>
      </c>
      <c r="B32" s="17" t="s">
        <v>52</v>
      </c>
      <c r="C32" s="17" t="s">
        <v>53</v>
      </c>
      <c r="D32" s="17" t="s">
        <v>54</v>
      </c>
      <c r="E32" s="17" t="s">
        <v>54</v>
      </c>
      <c r="F32" s="17" t="s">
        <v>47</v>
      </c>
      <c r="G32" s="17" t="s">
        <v>48</v>
      </c>
    </row>
    <row r="33" spans="1:7">
      <c r="A33" s="17">
        <v>5</v>
      </c>
      <c r="B33" s="17" t="s">
        <v>55</v>
      </c>
      <c r="C33" s="17" t="s">
        <v>56</v>
      </c>
      <c r="D33" s="17" t="s">
        <v>57</v>
      </c>
      <c r="E33" s="17" t="s">
        <v>57</v>
      </c>
      <c r="F33" s="17" t="s">
        <v>58</v>
      </c>
      <c r="G33" s="17" t="s">
        <v>59</v>
      </c>
    </row>
    <row r="34" spans="1:7">
      <c r="A34" s="17">
        <v>6</v>
      </c>
      <c r="B34" s="17" t="s">
        <v>60</v>
      </c>
      <c r="C34" s="17" t="s">
        <v>61</v>
      </c>
      <c r="D34" s="17" t="s">
        <v>62</v>
      </c>
      <c r="E34" s="17" t="s">
        <v>62</v>
      </c>
      <c r="F34" s="17" t="s">
        <v>58</v>
      </c>
      <c r="G34" s="17" t="s">
        <v>59</v>
      </c>
    </row>
    <row r="35" spans="1:7">
      <c r="A35" s="17">
        <v>7</v>
      </c>
      <c r="B35" s="17" t="s">
        <v>63</v>
      </c>
      <c r="C35" s="17" t="s">
        <v>64</v>
      </c>
      <c r="D35" s="17" t="s">
        <v>65</v>
      </c>
      <c r="E35" s="17" t="s">
        <v>65</v>
      </c>
      <c r="F35" s="17" t="s">
        <v>58</v>
      </c>
      <c r="G35" s="17" t="s">
        <v>59</v>
      </c>
    </row>
    <row r="36" spans="1:7">
      <c r="A36" s="17">
        <v>8</v>
      </c>
      <c r="B36" s="17" t="s">
        <v>66</v>
      </c>
      <c r="C36" s="17" t="s">
        <v>67</v>
      </c>
      <c r="D36" s="17" t="s">
        <v>68</v>
      </c>
      <c r="E36" s="17" t="s">
        <v>68</v>
      </c>
      <c r="F36" s="17" t="s">
        <v>58</v>
      </c>
      <c r="G36" s="17" t="s">
        <v>59</v>
      </c>
    </row>
    <row r="37" spans="1:7">
      <c r="A37" s="17">
        <v>9</v>
      </c>
      <c r="B37" s="17" t="s">
        <v>69</v>
      </c>
      <c r="C37" s="17" t="s">
        <v>70</v>
      </c>
      <c r="D37" s="17" t="s">
        <v>71</v>
      </c>
      <c r="E37" s="17" t="s">
        <v>71</v>
      </c>
      <c r="F37" s="17" t="s">
        <v>58</v>
      </c>
      <c r="G37" s="17" t="s">
        <v>59</v>
      </c>
    </row>
    <row r="38" spans="1:7">
      <c r="A38" s="17">
        <v>11</v>
      </c>
      <c r="D38" s="17" t="s">
        <v>72</v>
      </c>
      <c r="E38" s="17" t="s">
        <v>72</v>
      </c>
      <c r="F38" s="17" t="s">
        <v>58</v>
      </c>
      <c r="G38" s="17" t="s">
        <v>59</v>
      </c>
    </row>
    <row r="39" spans="1:7">
      <c r="A39" s="17">
        <v>12</v>
      </c>
      <c r="D39" s="17" t="s">
        <v>73</v>
      </c>
      <c r="E39" s="17" t="s">
        <v>73</v>
      </c>
      <c r="F39" s="17" t="s">
        <v>58</v>
      </c>
      <c r="G39" s="17" t="s">
        <v>59</v>
      </c>
    </row>
    <row r="40" spans="1:7">
      <c r="A40" s="17">
        <v>13</v>
      </c>
      <c r="D40" s="17" t="s">
        <v>74</v>
      </c>
      <c r="E40" s="17" t="s">
        <v>74</v>
      </c>
      <c r="F40" s="17" t="s">
        <v>58</v>
      </c>
      <c r="G40" s="17" t="s">
        <v>59</v>
      </c>
    </row>
    <row r="41" spans="1:7">
      <c r="A41" s="17">
        <v>14</v>
      </c>
      <c r="D41" s="17" t="s">
        <v>75</v>
      </c>
      <c r="E41" s="17" t="s">
        <v>75</v>
      </c>
      <c r="F41" s="17" t="s">
        <v>58</v>
      </c>
      <c r="G41" s="17" t="s">
        <v>59</v>
      </c>
    </row>
    <row r="42" spans="1:7">
      <c r="A42" s="17">
        <v>15</v>
      </c>
      <c r="D42" s="17" t="s">
        <v>76</v>
      </c>
      <c r="E42" s="17" t="s">
        <v>76</v>
      </c>
      <c r="F42" s="17" t="s">
        <v>58</v>
      </c>
      <c r="G42" s="17" t="s">
        <v>59</v>
      </c>
    </row>
    <row r="43" spans="1:7">
      <c r="A43" s="17">
        <v>16</v>
      </c>
      <c r="D43" s="17" t="s">
        <v>77</v>
      </c>
      <c r="E43" s="17" t="s">
        <v>77</v>
      </c>
      <c r="F43" s="17" t="s">
        <v>58</v>
      </c>
      <c r="G43" s="17" t="s">
        <v>59</v>
      </c>
    </row>
    <row r="44" spans="1:7">
      <c r="A44" s="17">
        <v>17</v>
      </c>
      <c r="D44" s="17" t="s">
        <v>78</v>
      </c>
      <c r="E44" s="17" t="s">
        <v>78</v>
      </c>
      <c r="F44" s="17" t="s">
        <v>58</v>
      </c>
      <c r="G44" s="17" t="s">
        <v>59</v>
      </c>
    </row>
    <row r="45" spans="1:7">
      <c r="A45" s="17">
        <v>18</v>
      </c>
      <c r="D45" s="17" t="s">
        <v>79</v>
      </c>
      <c r="E45" s="17" t="s">
        <v>79</v>
      </c>
      <c r="F45" s="17" t="s">
        <v>58</v>
      </c>
      <c r="G45" s="17" t="s">
        <v>59</v>
      </c>
    </row>
    <row r="46" spans="1:7">
      <c r="A46" s="17">
        <v>19</v>
      </c>
      <c r="D46" s="17" t="s">
        <v>80</v>
      </c>
      <c r="E46" s="17" t="s">
        <v>80</v>
      </c>
      <c r="F46" s="17" t="s">
        <v>58</v>
      </c>
      <c r="G46" s="17" t="s">
        <v>59</v>
      </c>
    </row>
  </sheetData>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10</vt:i4>
      </vt:variant>
      <vt:variant>
        <vt:lpstr>Именованные диапазоны</vt:lpstr>
      </vt:variant>
      <vt:variant>
        <vt:i4>13</vt:i4>
      </vt:variant>
    </vt:vector>
  </HeadingPairs>
  <TitlesOfParts>
    <vt:vector size="23" baseType="lpstr">
      <vt:lpstr>Заказчики</vt:lpstr>
      <vt:lpstr>Заявка</vt:lpstr>
      <vt:lpstr>Протокол</vt:lpstr>
      <vt:lpstr>Счет</vt:lpstr>
      <vt:lpstr>Акт до 01012019</vt:lpstr>
      <vt:lpstr>Конверт С4</vt:lpstr>
      <vt:lpstr>Акт</vt:lpstr>
      <vt:lpstr>Конверт С5</vt:lpstr>
      <vt:lpstr>Уведомление</vt:lpstr>
      <vt:lpstr>Общие</vt:lpstr>
      <vt:lpstr>'Конверт С5'!валюта</vt:lpstr>
      <vt:lpstr>Уведомление!валюта</vt:lpstr>
      <vt:lpstr>валюта</vt:lpstr>
      <vt:lpstr>Заказчики!Заголовки_для_печати</vt:lpstr>
      <vt:lpstr>'Конверт С5'!заказчик</vt:lpstr>
      <vt:lpstr>Уведомление!заказчик</vt:lpstr>
      <vt:lpstr>заказчик</vt:lpstr>
      <vt:lpstr>маш</vt:lpstr>
      <vt:lpstr>Акт!Область_печати</vt:lpstr>
      <vt:lpstr>'Акт до 01012019'!Область_печати</vt:lpstr>
      <vt:lpstr>Заявка!Область_печати</vt:lpstr>
      <vt:lpstr>Протокол!Область_печати</vt:lpstr>
      <vt:lpstr>Счет!Область_печати</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Professional</cp:lastModifiedBy>
  <cp:lastPrinted>2019-02-12T13:35:18Z</cp:lastPrinted>
  <dcterms:created xsi:type="dcterms:W3CDTF">2006-09-28T05:33:49Z</dcterms:created>
  <dcterms:modified xsi:type="dcterms:W3CDTF">2019-02-12T21:24:34Z</dcterms:modified>
</cp:coreProperties>
</file>